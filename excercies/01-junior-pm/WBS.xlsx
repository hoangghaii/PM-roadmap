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WBS" sheetId="1" state="visible" r:id="rId2"/>
    <sheet name="Sheet1" sheetId="2" state="visible" r:id="rId3"/>
    <sheet name="WBS (2)" sheetId="3" state="visible" r:id="rId4"/>
    <sheet name="Case-study" sheetId="4" state="visible" r:id="rId5"/>
    <sheet name="Gantt chart" sheetId="5" state="visible" r:id="rId6"/>
    <sheet name="Risk Register" sheetId="6" state="visible" r:id="rId7"/>
    <sheet name="EVM" sheetId="7" state="visible" r:id="rId8"/>
    <sheet name="Sheet2" sheetId="8"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<sst xmlns="http://schemas.openxmlformats.org/spreadsheetml/2006/main" count="569" uniqueCount="569">
  <si>
    <t xml:space="preserve">Project ID:</t>
  </si>
  <si>
    <t>#01</t>
  </si>
  <si>
    <t xml:space="preserve">Start Date:</t>
  </si>
  <si>
    <t xml:space="preserve">Project Objective</t>
  </si>
  <si>
    <t xml:space="preserve">Project Name:</t>
  </si>
  <si>
    <t xml:space="preserve">Cypher Global</t>
  </si>
  <si>
    <t xml:space="preserve">End Date (expected):</t>
  </si>
  <si>
    <t xml:space="preserve">(1) Maintain web (UI/UX &amp; simple logic) 
(2) Add new feature subtitle for video</t>
  </si>
  <si>
    <t xml:space="preserve">Project Manager:</t>
  </si>
  <si>
    <t xml:space="preserve">Anh Trần Minh Khoa</t>
  </si>
  <si>
    <t xml:space="preserve">Created On:</t>
  </si>
  <si>
    <t xml:space="preserve">Project Sponsor:</t>
  </si>
  <si>
    <t xml:space="preserve">Bà Nguyễn Thị Lan</t>
  </si>
  <si>
    <t xml:space="preserve">Last Updated:</t>
  </si>
  <si>
    <t>15/03/2026</t>
  </si>
  <si>
    <t xml:space="preserve">Current Date:</t>
  </si>
  <si>
    <t xml:space="preserve">Work Breakdown Structure (WBS)</t>
  </si>
  <si>
    <t>TaskID</t>
  </si>
  <si>
    <t>Task</t>
  </si>
  <si>
    <t>Responsible</t>
  </si>
  <si>
    <t>Accountable</t>
  </si>
  <si>
    <t>Dependencies</t>
  </si>
  <si>
    <t>Duration</t>
  </si>
  <si>
    <t>Start</t>
  </si>
  <si>
    <t>Finish</t>
  </si>
  <si>
    <t>Cost</t>
  </si>
  <si>
    <t>Remarks</t>
  </si>
  <si>
    <t>1.0</t>
  </si>
  <si>
    <t xml:space="preserve">Project management</t>
  </si>
  <si>
    <t>-</t>
  </si>
  <si>
    <t>PM</t>
  </si>
  <si>
    <t>1.1</t>
  </si>
  <si>
    <t xml:space="preserve">Project planning &amp; WBS &amp; kickoff</t>
  </si>
  <si>
    <t xml:space="preserve">5 days</t>
  </si>
  <si>
    <t>1.2</t>
  </si>
  <si>
    <t xml:space="preserve">Weeky report</t>
  </si>
  <si>
    <t xml:space="preserve">0.5 day / week</t>
  </si>
  <si>
    <t>1.3</t>
  </si>
  <si>
    <t xml:space="preserve">Project closure</t>
  </si>
  <si>
    <t xml:space="preserve">2 days</t>
  </si>
  <si>
    <t>2.0</t>
  </si>
  <si>
    <t xml:space="preserve">Discovery &amp; Design</t>
  </si>
  <si>
    <t xml:space="preserve">~ 1 month</t>
  </si>
  <si>
    <t>2.1</t>
  </si>
  <si>
    <t xml:space="preserve">Requirements gathering</t>
  </si>
  <si>
    <t xml:space="preserve">BA + PM</t>
  </si>
  <si>
    <t xml:space="preserve">~ 1.5 weeks</t>
  </si>
  <si>
    <t>2.1.1</t>
  </si>
  <si>
    <t xml:space="preserve">Stackholder interview</t>
  </si>
  <si>
    <t xml:space="preserve">1.5 week</t>
  </si>
  <si>
    <t>2.1.2</t>
  </si>
  <si>
    <t xml:space="preserve">Requirements document</t>
  </si>
  <si>
    <t xml:space="preserve">3 days</t>
  </si>
  <si>
    <t>2.2</t>
  </si>
  <si>
    <t xml:space="preserve">UX Research &amp; Personas</t>
  </si>
  <si>
    <t>Designer</t>
  </si>
  <si>
    <t>2.3</t>
  </si>
  <si>
    <t xml:space="preserve">Technical Architecture &amp; System Design</t>
  </si>
  <si>
    <t xml:space="preserve">Tech Lead + BA</t>
  </si>
  <si>
    <t xml:space="preserve">1 week</t>
  </si>
  <si>
    <t>2.3.1</t>
  </si>
  <si>
    <t xml:space="preserve">System architecture &amp; infrastructure design</t>
  </si>
  <si>
    <t xml:space="preserve">Tech Lead</t>
  </si>
  <si>
    <t>2.3.2</t>
  </si>
  <si>
    <t xml:space="preserve">DB schema &amp; API specification</t>
  </si>
  <si>
    <t>2.4</t>
  </si>
  <si>
    <t xml:space="preserve">UI Design (Subtitle)</t>
  </si>
  <si>
    <t xml:space="preserve">~ 2 week</t>
  </si>
  <si>
    <t>2.4.1</t>
  </si>
  <si>
    <t>Wireframe</t>
  </si>
  <si>
    <t>BA</t>
  </si>
  <si>
    <t>2.4.2</t>
  </si>
  <si>
    <t xml:space="preserve">Figma design</t>
  </si>
  <si>
    <t xml:space="preserve">2.1.1 + 2.2</t>
  </si>
  <si>
    <t>2.4.3</t>
  </si>
  <si>
    <t xml:space="preserve">Design review &amp; approval</t>
  </si>
  <si>
    <t>Stackholder</t>
  </si>
  <si>
    <t xml:space="preserve">1~2 days</t>
  </si>
  <si>
    <t>3.0</t>
  </si>
  <si>
    <t xml:space="preserve">Existing System Stabilization (Bug Fixes)</t>
  </si>
  <si>
    <t xml:space="preserve">Tech lead</t>
  </si>
  <si>
    <t xml:space="preserve">~ 1.5 months</t>
  </si>
  <si>
    <t>3.1</t>
  </si>
  <si>
    <t xml:space="preserve">Audit &amp; Prioritize Bug Backlog</t>
  </si>
  <si>
    <t xml:space="preserve">PM + TL + Tester</t>
  </si>
  <si>
    <t>3.2</t>
  </si>
  <si>
    <t xml:space="preserve">Fix issue</t>
  </si>
  <si>
    <t xml:space="preserve">1 month</t>
  </si>
  <si>
    <t>3.2.1</t>
  </si>
  <si>
    <t xml:space="preserve">Frontend: fix UI/UX and logic issue</t>
  </si>
  <si>
    <t xml:space="preserve">Frontend dev</t>
  </si>
  <si>
    <t>3.2.2</t>
  </si>
  <si>
    <t xml:space="preserve">Backend: fix logic issue</t>
  </si>
  <si>
    <t xml:space="preserve">Backend dev</t>
  </si>
  <si>
    <t>4.0</t>
  </si>
  <si>
    <t xml:space="preserve">Subtitle Feature Development</t>
  </si>
  <si>
    <t>4.1</t>
  </si>
  <si>
    <t xml:space="preserve">Backend services</t>
  </si>
  <si>
    <t>4.1.1</t>
  </si>
  <si>
    <t xml:space="preserve">Subtitle Storage</t>
  </si>
  <si>
    <t>4.1.2</t>
  </si>
  <si>
    <t xml:space="preserve">API CRUD</t>
  </si>
  <si>
    <t>4.1.3</t>
  </si>
  <si>
    <t xml:space="preserve">File Processing &amp; Parsing (.srt, .vtt)</t>
  </si>
  <si>
    <t>4.1.4</t>
  </si>
  <si>
    <t xml:space="preserve">Subtitle Optimization &amp; Logic Refinement</t>
  </si>
  <si>
    <t>4.2</t>
  </si>
  <si>
    <t>Frontend</t>
  </si>
  <si>
    <t>4.2.1</t>
  </si>
  <si>
    <t xml:space="preserve">Create/Edit/Delete subtitle (Creator)</t>
  </si>
  <si>
    <t xml:space="preserve">2.0 + 4.1</t>
  </si>
  <si>
    <t>4.2.2</t>
  </si>
  <si>
    <t xml:space="preserve">Subtitle Overlay &amp; Rendering UI</t>
  </si>
  <si>
    <t>4.2.3</t>
  </si>
  <si>
    <t xml:space="preserve">Subtitle Settings</t>
  </si>
  <si>
    <t xml:space="preserve">27/4, 30/4 and 1/5 is Vietnam holiday, so we do not work this week.</t>
  </si>
  <si>
    <t>4.2.4</t>
  </si>
  <si>
    <t>5.0</t>
  </si>
  <si>
    <t xml:space="preserve">Infrastructure &amp; DevOps</t>
  </si>
  <si>
    <t xml:space="preserve">~3 weeks</t>
  </si>
  <si>
    <t>5.1</t>
  </si>
  <si>
    <t xml:space="preserve">Cloud infrastructure setup</t>
  </si>
  <si>
    <t xml:space="preserve">DevOps dev</t>
  </si>
  <si>
    <t>5.2</t>
  </si>
  <si>
    <t xml:space="preserve">CI / CD pipeline</t>
  </si>
  <si>
    <t>5.3</t>
  </si>
  <si>
    <t xml:space="preserve">UAT Environment Preparation</t>
  </si>
  <si>
    <t>5.4</t>
  </si>
  <si>
    <t xml:space="preserve">CDN &amp; performance optimization</t>
  </si>
  <si>
    <t xml:space="preserve">2.5 days</t>
  </si>
  <si>
    <t>5.5</t>
  </si>
  <si>
    <t xml:space="preserve">Security hardening &amp; SSL</t>
  </si>
  <si>
    <t>6.0</t>
  </si>
  <si>
    <t>Testing</t>
  </si>
  <si>
    <t>Tester</t>
  </si>
  <si>
    <t xml:space="preserve">~ 3 months</t>
  </si>
  <si>
    <t>6.1</t>
  </si>
  <si>
    <t xml:space="preserve">Test plan &amp; test case</t>
  </si>
  <si>
    <t xml:space="preserve">3 weeks</t>
  </si>
  <si>
    <t>6.2</t>
  </si>
  <si>
    <t xml:space="preserve">System Integration Testing (SIT)</t>
  </si>
  <si>
    <t xml:space="preserve">3.0 + 4.0 + 5.0 + 6.1</t>
  </si>
  <si>
    <t xml:space="preserve">4.5 days</t>
  </si>
  <si>
    <t>6.3</t>
  </si>
  <si>
    <t xml:space="preserve">Fix issues from SIT</t>
  </si>
  <si>
    <t xml:space="preserve">Dev team</t>
  </si>
  <si>
    <t>6.4</t>
  </si>
  <si>
    <t xml:space="preserve">Deploy to UAT environment </t>
  </si>
  <si>
    <t xml:space="preserve">0.5 day</t>
  </si>
  <si>
    <t>6.5</t>
  </si>
  <si>
    <t xml:space="preserve">User Acceptance Testing (UAT)</t>
  </si>
  <si>
    <t xml:space="preserve">Tester + Stackholder</t>
  </si>
  <si>
    <t>6.6</t>
  </si>
  <si>
    <t xml:space="preserve">Fix UAT Issues &amp; Final Verification</t>
  </si>
  <si>
    <t>7.0</t>
  </si>
  <si>
    <t>Lauch</t>
  </si>
  <si>
    <t>7.1</t>
  </si>
  <si>
    <t xml:space="preserve">Production deployment</t>
  </si>
  <si>
    <t xml:space="preserve">1 day</t>
  </si>
  <si>
    <t>7.2</t>
  </si>
  <si>
    <t xml:space="preserve">DNS cutover &amp; monitoring</t>
  </si>
  <si>
    <t>7.3</t>
  </si>
  <si>
    <t xml:space="preserve">Smoke test post-lauch</t>
  </si>
  <si>
    <t xml:space="preserve">Tester + Dev team</t>
  </si>
  <si>
    <t xml:space="preserve">2 day</t>
  </si>
  <si>
    <t>7.4</t>
  </si>
  <si>
    <t xml:space="preserve">Handover document</t>
  </si>
  <si>
    <t>All</t>
  </si>
  <si>
    <t xml:space="preserve">Project Management</t>
  </si>
  <si>
    <t xml:space="preserve">16 weeks</t>
  </si>
  <si>
    <t>19/06</t>
  </si>
  <si>
    <t xml:space="preserve">Kéo dài đến hết dự án.</t>
  </si>
  <si>
    <t xml:space="preserve">Project Planning &amp; Kickoff</t>
  </si>
  <si>
    <t xml:space="preserve">Weekly Report &amp; Stakeholder Mgmt</t>
  </si>
  <si>
    <t xml:space="preserve">15 weeks</t>
  </si>
  <si>
    <t xml:space="preserve">Báo cáo định kỳ mỗi tuần.</t>
  </si>
  <si>
    <t xml:space="preserve">Project Closure &amp; Handover</t>
  </si>
  <si>
    <t>18/06</t>
  </si>
  <si>
    <t>20/03</t>
  </si>
  <si>
    <t xml:space="preserve">Requirements Gathering</t>
  </si>
  <si>
    <t xml:space="preserve">1.5 weeks</t>
  </si>
  <si>
    <t xml:space="preserve">Lấy thông tin Stakeholders.</t>
  </si>
  <si>
    <t>16/03</t>
  </si>
  <si>
    <t xml:space="preserve">Technical Arch &amp; DB Design</t>
  </si>
  <si>
    <t>TL</t>
  </si>
  <si>
    <t>17/03</t>
  </si>
  <si>
    <t xml:space="preserve">Cần xong trước khi code.</t>
  </si>
  <si>
    <t xml:space="preserve">UI Design (Subtitle Feature)</t>
  </si>
  <si>
    <t xml:space="preserve">2 weeks</t>
  </si>
  <si>
    <t>24/03</t>
  </si>
  <si>
    <t xml:space="preserve">Vẽ Figma cho tính năng sub.</t>
  </si>
  <si>
    <t xml:space="preserve">Design Review &amp; Approval</t>
  </si>
  <si>
    <t>Stakeholder</t>
  </si>
  <si>
    <t>25/03</t>
  </si>
  <si>
    <t>27/03</t>
  </si>
  <si>
    <t xml:space="preserve">Chốt thiết kế cuối cùng.</t>
  </si>
  <si>
    <t xml:space="preserve">Existing System Stabilization</t>
  </si>
  <si>
    <t xml:space="preserve">~5 weeks</t>
  </si>
  <si>
    <t>15/04</t>
  </si>
  <si>
    <t xml:space="preserve">Làm song song với Design.</t>
  </si>
  <si>
    <t>PM+TL+Test</t>
  </si>
  <si>
    <t>18/03</t>
  </si>
  <si>
    <t xml:space="preserve">Fix UI/UX &amp; Logic Issues</t>
  </si>
  <si>
    <t xml:space="preserve">Dev Team</t>
  </si>
  <si>
    <t xml:space="preserve">4 weeks</t>
  </si>
  <si>
    <t>19/03</t>
  </si>
  <si>
    <t xml:space="preserve">Tập trung xử lý nợ kỹ thuật.</t>
  </si>
  <si>
    <t xml:space="preserve">2.3, 2.5</t>
  </si>
  <si>
    <t xml:space="preserve">~7 weeks</t>
  </si>
  <si>
    <t>13/04</t>
  </si>
  <si>
    <t>29/05</t>
  </si>
  <si>
    <t xml:space="preserve">Có quãng nghỉ lễ 1 tuần.</t>
  </si>
  <si>
    <t xml:space="preserve">Backend: Subtitle Services</t>
  </si>
  <si>
    <t xml:space="preserve">BE Dev</t>
  </si>
  <si>
    <t>15/05</t>
  </si>
  <si>
    <t xml:space="preserve">Trừ tuần nghỉ lễ 27/4-1/5.</t>
  </si>
  <si>
    <t xml:space="preserve">Storage &amp; API CRUD</t>
  </si>
  <si>
    <t>24/04</t>
  </si>
  <si>
    <t xml:space="preserve">Parsing Logic &amp; Optimization</t>
  </si>
  <si>
    <t xml:space="preserve">Làm sau kỳ nghỉ lễ.</t>
  </si>
  <si>
    <t xml:space="preserve">Frontend: Subtitle Components</t>
  </si>
  <si>
    <t xml:space="preserve">FE Dev</t>
  </si>
  <si>
    <t xml:space="preserve">Create/Edit/Delete UI</t>
  </si>
  <si>
    <t xml:space="preserve">Player Rendering &amp; Sync Logic</t>
  </si>
  <si>
    <t xml:space="preserve">FE-BE Integration Testing</t>
  </si>
  <si>
    <t xml:space="preserve">4.1, 4.2</t>
  </si>
  <si>
    <t>18/05</t>
  </si>
  <si>
    <t xml:space="preserve">Ráp nối trên môi trường Dev.</t>
  </si>
  <si>
    <t xml:space="preserve">~4 weeks</t>
  </si>
  <si>
    <t xml:space="preserve">Chia làm 2 giai đoạn.</t>
  </si>
  <si>
    <t xml:space="preserve">Dev Env &amp; CI/CD Pipeline Setup</t>
  </si>
  <si>
    <t>DevOps</t>
  </si>
  <si>
    <t xml:space="preserve">Phục vụ giai đoạn Code.</t>
  </si>
  <si>
    <t>22/05</t>
  </si>
  <si>
    <t xml:space="preserve">Chuẩn bị cho khách hàng test.</t>
  </si>
  <si>
    <t xml:space="preserve">Security Hardening &amp; SSL</t>
  </si>
  <si>
    <t>25/05</t>
  </si>
  <si>
    <t xml:space="preserve">Trước khi Deploy UAT.</t>
  </si>
  <si>
    <t xml:space="preserve">Testing &amp; QA</t>
  </si>
  <si>
    <t xml:space="preserve">Test Plan &amp; Test Case Writing</t>
  </si>
  <si>
    <t xml:space="preserve">Chuẩn bị kịch bản test sớm.</t>
  </si>
  <si>
    <t xml:space="preserve">Kiểm thử toàn diện nội bộ.</t>
  </si>
  <si>
    <t xml:space="preserve">Deploy to UAT environment</t>
  </si>
  <si>
    <t xml:space="preserve">Khách hàng nghiệm thu.</t>
  </si>
  <si>
    <t xml:space="preserve">Fix UAT Issues &amp; Final Verify</t>
  </si>
  <si>
    <t xml:space="preserve">Fix song song hoặc ngay sau.</t>
  </si>
  <si>
    <t xml:space="preserve">Launch &amp; Production</t>
  </si>
  <si>
    <t xml:space="preserve">6.4, 6.5</t>
  </si>
  <si>
    <t>15/06</t>
  </si>
  <si>
    <t xml:space="preserve">Production Deployment</t>
  </si>
  <si>
    <t xml:space="preserve">Smoke Test &amp; Monitoring</t>
  </si>
  <si>
    <t>16/06</t>
  </si>
  <si>
    <t>17/06</t>
  </si>
  <si>
    <t xml:space="preserve">Kiểm tra sau Go-live.</t>
  </si>
  <si>
    <t xml:space="preserve">Bàn giao tài liệu vận hành.</t>
  </si>
  <si>
    <t xml:space="preserve">14 weeks</t>
  </si>
  <si>
    <t xml:space="preserve">13 weeks</t>
  </si>
  <si>
    <t>BA+PM</t>
  </si>
  <si>
    <t xml:space="preserve">Requirements Document (BRD/SRS)</t>
  </si>
  <si>
    <t xml:space="preserve">Technical Architecture &amp; DB Design</t>
  </si>
  <si>
    <t xml:space="preserve">Subtitle DB Schema &amp; API Spec</t>
  </si>
  <si>
    <t>13/03</t>
  </si>
  <si>
    <t xml:space="preserve">Infrastructure Design</t>
  </si>
  <si>
    <t xml:space="preserve">Wireframe &amp; User Flow</t>
  </si>
  <si>
    <t xml:space="preserve">High-fidelity Figma Design</t>
  </si>
  <si>
    <t>23/03</t>
  </si>
  <si>
    <t xml:space="preserve">5 weeks</t>
  </si>
  <si>
    <t>14/04</t>
  </si>
  <si>
    <t>PM+TL</t>
  </si>
  <si>
    <t xml:space="preserve">2.3, 2.4</t>
  </si>
  <si>
    <t xml:space="preserve">~9 weeks</t>
  </si>
  <si>
    <t xml:space="preserve">Backend Services</t>
  </si>
  <si>
    <t xml:space="preserve">Subtitle Storage Implementation</t>
  </si>
  <si>
    <t xml:space="preserve">API CRUD Development</t>
  </si>
  <si>
    <t>31/03</t>
  </si>
  <si>
    <t xml:space="preserve">Logic Refinement &amp; Optimization</t>
  </si>
  <si>
    <t xml:space="preserve">Vietnam Holiday (No work)</t>
  </si>
  <si>
    <t>27/04</t>
  </si>
  <si>
    <t xml:space="preserve">Frontend Development</t>
  </si>
  <si>
    <t xml:space="preserve">6 weeks</t>
  </si>
  <si>
    <t>4.3.1</t>
  </si>
  <si>
    <t xml:space="preserve">Subtitle Creator/Editor UI</t>
  </si>
  <si>
    <t>4.3.2</t>
  </si>
  <si>
    <t xml:space="preserve">Overlay Rendering &amp; Player Sync</t>
  </si>
  <si>
    <t>4.3.3</t>
  </si>
  <si>
    <t xml:space="preserve">Subtitle Settings &amp; Customization</t>
  </si>
  <si>
    <t xml:space="preserve">Integration &amp; Internal Fix</t>
  </si>
  <si>
    <t xml:space="preserve">4.1, 4.3</t>
  </si>
  <si>
    <t xml:space="preserve">~10 weeks</t>
  </si>
  <si>
    <t xml:space="preserve">4 days</t>
  </si>
  <si>
    <t>28/05</t>
  </si>
  <si>
    <t xml:space="preserve">Deploy to UAT Environment</t>
  </si>
  <si>
    <t>Launch</t>
  </si>
  <si>
    <t xml:space="preserve">Smoke Test &amp; Handover</t>
  </si>
  <si>
    <t>PM+Team</t>
  </si>
  <si>
    <t xml:space="preserve">I. Thông tin dự án</t>
  </si>
  <si>
    <t xml:space="preserve">Project name:</t>
  </si>
  <si>
    <t xml:space="preserve">Warehouse Management System (WMS) v2.0</t>
  </si>
  <si>
    <t>Timeline:</t>
  </si>
  <si>
    <t xml:space="preserve">4 tháng (tháng 1 → tháng 4)</t>
  </si>
  <si>
    <t>Budget:</t>
  </si>
  <si>
    <t xml:space="preserve">800 triệu VND (cố định)</t>
  </si>
  <si>
    <t xml:space="preserve">Dev team:</t>
  </si>
  <si>
    <t xml:space="preserve">3 Backend + 2 Frontend + 1 QA</t>
  </si>
  <si>
    <t>Stackholder:</t>
  </si>
  <si>
    <t xml:space="preserve">Công ty phân phối Minh Phát, 500 nhân viên</t>
  </si>
  <si>
    <t>Contract:</t>
  </si>
  <si>
    <t xml:space="preserve">Fixed-price, fixed-scope</t>
  </si>
  <si>
    <t xml:space="preserve">II. Timeline sự kiện</t>
  </si>
  <si>
    <t xml:space="preserve">Month 1:</t>
  </si>
  <si>
    <t>Analysis</t>
  </si>
  <si>
    <t xml:space="preserve">Month 2:</t>
  </si>
  <si>
    <t xml:space="preserve">Dev M1</t>
  </si>
  <si>
    <t xml:space="preserve">-&gt; Tuần 8: Khủng hoảng xảy ra, Team lead báo cáo trong weekly standup cần thêm 6 tuần mới có thể deliver đủ scope.</t>
  </si>
  <si>
    <t xml:space="preserve">Month 3:</t>
  </si>
  <si>
    <t xml:space="preserve">Dev M2</t>
  </si>
  <si>
    <t xml:space="preserve">Month 4:</t>
  </si>
  <si>
    <t xml:space="preserve">UAT + Go live</t>
  </si>
  <si>
    <t xml:space="preserve">III. Thông tin chi tiết</t>
  </si>
  <si>
    <t xml:space="preserve">- Scope thay đổi: tháng 2, giám đốc kho hàng (không phải người ký contract) đẫ trực tiếp yêu cầu </t>
  </si>
  <si>
    <t xml:space="preserve">developer thêm 3 tính năng mới: barcode, real-time dashboard, auto-reorder alerts).</t>
  </si>
  <si>
    <t xml:space="preserve">-&gt; Developer đã làm vì "khách hàng yêu cầu trực tiếp"</t>
  </si>
  <si>
    <t xml:space="preserve">- Dev team: hiện đang ở 110% capacity, 2 người làm OT liên tục 3 tuần</t>
  </si>
  <si>
    <t xml:space="preserve">- Tác động: 3 tính năng mới này chiếm ~6 tuần</t>
  </si>
  <si>
    <t xml:space="preserve">- Khách hàng: Phó Giám Đốc (người ký contract) không biết về những yêu cầu này và không đồng ý tăng timeline</t>
  </si>
  <si>
    <t xml:space="preserve">- Budget: Không có contingency budget</t>
  </si>
  <si>
    <t xml:space="preserve">IV. Câu hỏi phân tích</t>
  </si>
  <si>
    <t xml:space="preserve">1. Bạn sẽ làm gì trong 24h đầu tiên</t>
  </si>
  <si>
    <t xml:space="preserve">2. Bạn sẽ present vấn đề này với sponsor/khách hàng như thế nào</t>
  </si>
  <si>
    <t xml:space="preserve">3. Các options nào khả thi trong tình huống này</t>
  </si>
  <si>
    <t xml:space="preserve">4. Bạn sẽ chọn option nào? Tại sao?</t>
  </si>
  <si>
    <t xml:space="preserve">Bước 1: Thu thập dữ liệu (2~4h đầu tiên)</t>
  </si>
  <si>
    <t xml:space="preserve">Cần trả lời các câu hỏi:</t>
  </si>
  <si>
    <t xml:space="preserve">1. Scope change này được thêm khi nào?</t>
  </si>
  <si>
    <t xml:space="preserve">2. Ai request? ai  approve? approved khi nào?</t>
  </si>
  <si>
    <t xml:space="preserve">3. Team dev đã làm được bao nhiêu % của scope mới này</t>
  </si>
  <si>
    <t xml:space="preserve">4. Nếu dừng làm tiếp scope này và quay lại hoàn thành original scope, có thể hoàn thành đúng hạn được không</t>
  </si>
  <si>
    <t xml:space="preserve">5. Có thể cắt giảm scope nào trong original mà vẫn không ảnh hưởng MVP</t>
  </si>
  <si>
    <t xml:space="preserve">Hành động cụ thể:</t>
  </si>
  <si>
    <t xml:space="preserve">- Họp 1-1 với team lead để hiểu chi tiết</t>
  </si>
  <si>
    <t xml:space="preserve">- Check git history, jira ticket để xác định scope change khi nào</t>
  </si>
  <si>
    <t xml:space="preserve">- Review original contract và scope document</t>
  </si>
  <si>
    <t xml:space="preserve">- Đừng blame team dev vì họ đang làm theo chỉ đạo trực tiếp của khách hàng</t>
  </si>
  <si>
    <t xml:space="preserve">Bước 2 : Phân tích options (4~8h tiếp theo)</t>
  </si>
  <si>
    <t>Options</t>
  </si>
  <si>
    <t xml:space="preserve">Mô tả</t>
  </si>
  <si>
    <t>Props</t>
  </si>
  <si>
    <t>Cons</t>
  </si>
  <si>
    <t xml:space="preserve">Tính khả thi</t>
  </si>
  <si>
    <t xml:space="preserve">Cắt scope</t>
  </si>
  <si>
    <t xml:space="preserve">Defer scope mới qua phase sau. Chỉ ship original scope</t>
  </si>
  <si>
    <t xml:space="preserve">Giữ nguyên orignal scope, cost, deadline</t>
  </si>
  <si>
    <t xml:space="preserve">Chỉ ship original scope,các scope mới sẽ chưa được ship</t>
  </si>
  <si>
    <t>Cao</t>
  </si>
  <si>
    <t xml:space="preserve">Dời deadline</t>
  </si>
  <si>
    <t xml:space="preserve">Kéo dãn deadline thêm 6 tuần để có thể toàn bộ scope (bao gồm original scope và 3 scope mới)</t>
  </si>
  <si>
    <t xml:space="preserve">Ship full scope</t>
  </si>
  <si>
    <t xml:space="preserve">Tăng deadline và cost</t>
  </si>
  <si>
    <t xml:space="preserve">Trung bình</t>
  </si>
  <si>
    <t xml:space="preserve">Thêm resource</t>
  </si>
  <si>
    <t xml:space="preserve">Thêm 2 dev trong 6 tuần (~60 triệu VND)</t>
  </si>
  <si>
    <t xml:space="preserve">Có thể recover 1 phần</t>
  </si>
  <si>
    <t xml:space="preserve">Ramping time mất 2 tuần, cost tăng, có thể không ship được toàn bộ scope</t>
  </si>
  <si>
    <t>Thấp</t>
  </si>
  <si>
    <t>Hybird</t>
  </si>
  <si>
    <t xml:space="preserve">Deliver core + 1 tính năng mới, các tính năng còn lại defer qua phase sau</t>
  </si>
  <si>
    <t xml:space="preserve">Core MVP được ship hoàn chỉnh + thêm 1 tính năng mới</t>
  </si>
  <si>
    <t xml:space="preserve">User experience bị ảnh hưởng</t>
  </si>
  <si>
    <t xml:space="preserve">Bước 3 : Lên kịch bản communication với sponsor (8~16h tiếp theo)</t>
  </si>
  <si>
    <t xml:space="preserve">Email thông báo rủi ro cho stackholder</t>
  </si>
  <si>
    <t xml:space="preserve">Subject: [WMS Project] Risk Alert - Scope Change Impact Analysis
Kính gửi Anh/Chị [tên sponsor]
Trong quá trình review tiến độ tuần này, tôi phát hiện ra một tình huống cần được escalate và quyết định ngay.
VẤN ĐỀ: Trong tháng 2, phía team kỹ thuạt đã nhận một số yêu cầu thêm tính năng từ phía vận hành kho của quý công ty mà chưa qua change request process. Tổng effort ước tính: +6 tuần
IMPACT: Nếu không xử lý kịp thời, dự án sẽ trễ đến [deadline mới] hoặc vượt budget.
ĐỀ XUẤT: Họp khẩn trong 24h để review options và quyết định hướng đi.
Tôi đã chuẩn bị 3 options với pros/cons. Thời gian nào thuận tiện cho Anh/Chị?
Trân trọng,
[Tên PM]</t>
  </si>
  <si>
    <t xml:space="preserve">Bước 4 : Meeting với sponsor (ngày 2)</t>
  </si>
  <si>
    <t xml:space="preserve">Agenda 30 phút:</t>
  </si>
  <si>
    <t xml:space="preserve">1. Present facts (không blame ai) - 5 phút</t>
  </si>
  <si>
    <t xml:space="preserve">2. Present 3 options với impact rõ ràng - 10 phút</t>
  </si>
  <si>
    <t xml:space="preserve">3. Đề xuất recommendation của PM - 5 phút</t>
  </si>
  <si>
    <t xml:space="preserve">4. Q&amp;A và quyết định - 10 phút</t>
  </si>
  <si>
    <t xml:space="preserve">Nguyên tắc present:</t>
  </si>
  <si>
    <t xml:space="preserve">- Dùng số liệu rõ ràng, không dùng cảm tính</t>
  </si>
  <si>
    <t xml:space="preserve">- Present options, không chỉ present vấn đề</t>
  </si>
  <si>
    <t xml:space="preserve">- Có recommendation rõ ràng - sponsor trả tiền để PM quyết định, không chỉ liệt kê options</t>
  </si>
  <si>
    <t xml:space="preserve">Bước 5 : Document quyết định</t>
  </si>
  <si>
    <t xml:space="preserve">Dù chọn option nào, phải document bằng văn bản:</t>
  </si>
  <si>
    <t xml:space="preserve">1. Change Request Form cho 3 tính năng mới</t>
  </si>
  <si>
    <t xml:space="preserve">- Nếu approve -&gt; project plan update</t>
  </si>
  <si>
    <t xml:space="preserve">- Nếu reject -&gt; formal rejection documented</t>
  </si>
  <si>
    <t xml:space="preserve">2. Meeting minutes có chữ ký/email confirm</t>
  </si>
  <si>
    <t xml:space="preserve">3. Thông báo cho toàn team về quyết định</t>
  </si>
  <si>
    <t xml:space="preserve">4. Cập nhật Risk Register</t>
  </si>
  <si>
    <t xml:space="preserve">Câu hỏi reflection</t>
  </si>
  <si>
    <t xml:space="preserve">1. Nếu bạn là PM từ đầu dự án, bạn sẽ setup quy trình nào để tránh tình huống này xảy ra?</t>
  </si>
  <si>
    <t xml:space="preserve">- Ngay buổi kickoff, communicate với team và khách hàng: Mọi yêu cầu thay đổi đều phải qua PM, </t>
  </si>
  <si>
    <t xml:space="preserve">developer không tự ý nhận thêm việc từ stakeholder</t>
  </si>
  <si>
    <t xml:space="preserve">- Luôn kiểm tra effort của dev bằng jira ticket và daily report, nếu có 1 task bị trễ hơn 1 ngày so với deadline, cần check xem </t>
  </si>
  <si>
    <t xml:space="preserve">đó là đo task đó lớn hơn so với dự kiến hay bị block bởi 1 task khác</t>
  </si>
  <si>
    <t xml:space="preserve">2. Trong cuộc họp với sponsor, nếu họ blame dev team trực tiếp, bạn xử lý thế nào?</t>
  </si>
  <si>
    <t xml:space="preserve">PM sẽ là người chịu mọi trách nhiệm, nếu sponsor blame dev team trực tiếp, cần bảo vệ dev team bằng cách nói với sponsor rằng dev team</t>
  </si>
  <si>
    <t xml:space="preserve">không làm sai, họ được nhận yêu cầu trực tiếp từ phía vận hành của khách và họ không biết rằng người đưa ra yêu cầu trực tiếp đó không phải </t>
  </si>
  <si>
    <t xml:space="preserve">là người sponsor. Lỗi là do PM đã không kiểm soát sát sao scope</t>
  </si>
  <si>
    <t xml:space="preserve">Sau khi đã nhận lỗi cần trình bày 1 cách khách quan: Team đã nỗ lực đáp ứng nhu cầu thực tế từ phía người vận hành trực tiếp (Giám đốc kho) </t>
  </si>
  <si>
    <t xml:space="preserve">để đảm bảo app có tính ứng dụng cao, đó là 3 tính năng mới (Barcode, Dashboard, Alerts)</t>
  </si>
  <si>
    <t xml:space="preserve">3. Nếu khách hàng insist muốn cả 3 tính năng mới và giữ deadline và không tăng budget — bạn làm gì?</t>
  </si>
  <si>
    <t xml:space="preserve">Giải thích với khách rằng không thể làm như thế được bằng cách:</t>
  </si>
  <si>
    <t xml:space="preserve">Bước 1: Thể hiện vấn đề bằng con số</t>
  </si>
  <si>
    <t xml:space="preserve">Hiện tại team đang có 1.000 giờ công khả dụng từ nay đến deadline.</t>
  </si>
  <si>
    <t xml:space="preserve"> Tổng scope (cũ + mới) đang cần 1.600 giờ công. </t>
  </si>
  <si>
    <t xml:space="preserve">Nếu giữ nguyên mọi thứ, chúng ta đang thiếu 600 giờ - tương đương với việc team phải làm việc 16 tiếng/ngày, 7 ngày/tuần liên tục trong 2 tháng.</t>
  </si>
  <si>
    <t xml:space="preserve">Bước 2: Thể hiện risk sẽ xảy ra</t>
  </si>
  <si>
    <t xml:space="preserve">Rủi ro vận hành: Việc làm quá tải sẽ dẫn tới lỗi logic nghiêm trọng như mất dữ liệu, sai lệch barcode, </t>
  </si>
  <si>
    <t xml:space="preserve">Nợ kỹ thuật: code ẩu để kịp deadline sẽ dẫn tới app cực kỳ khó bảo trì, thậm chí có thể sập nếu có nhiều user </t>
  </si>
  <si>
    <t xml:space="preserve">Bước 3: Đề xuất các options</t>
  </si>
  <si>
    <t xml:space="preserve">Nêu ra các option và recomemt option tốt nhất (các options đã được nêu ở trên)</t>
  </si>
  <si>
    <t xml:space="preserve">4. Làm thế nào để xây dựng trust với developer để họ báo cáo vấn đề sớm hơn?</t>
  </si>
  <si>
    <t xml:space="preserve">Chiến thuật 1: Trở thành "Cái Khiên" (The Shield)</t>
  </si>
  <si>
    <t xml:space="preserve">Khi có biến cố xảy ra (như vụ việc trên), hãy đứng ra nhận toàn bộ lỗi trước Sponsor. </t>
  </si>
  <si>
    <t xml:space="preserve">Khi Dev thấy bạn bảo vệ họ trước "mưa bom bão đạn", họ sẽ tin tưởng và báo cáo cho bạn sớm hơn ở lần sau.</t>
  </si>
  <si>
    <t xml:space="preserve">Chiến thuật 2: Thay đổi format Daily Stand-up (An toàn để báo cáo)</t>
  </si>
  <si>
    <t xml:space="preserve">Hãy tập trung vào Blockers (Rào cản).</t>
  </si>
  <si>
    <t xml:space="preserve">Thay vì hỏi "Hôm nay làm gì?", hãy hỏi: "Có yêu cầu nào từ bên ngoài làm xao nhãng anh em không?" </t>
  </si>
  <si>
    <t xml:space="preserve">hoặc "Có tính năng nào anh em thấy đang tốn thời gian hơn dự kiến không?"</t>
  </si>
  <si>
    <t xml:space="preserve">Chiến thuật 3: Giáo dục về "Impact" thay vì "Task"</t>
  </si>
  <si>
    <t xml:space="preserve">Dùng biểu đồ Burn-down Chart hoặc Kanban Board để chỉ cho họ thấy: </t>
  </si>
  <si>
    <t xml:space="preserve">"Khi các bạn thêm 1 tính năng Barcode này, 2 tính năng Core khác sẽ bị đẩy ra khỏi deadline tháng 4".</t>
  </si>
  <si>
    <t xml:space="preserve">Chiến thuật 4: Quy tắc "2 giờ"</t>
  </si>
  <si>
    <t xml:space="preserve">"Nếu bất kỳ ai dành quá 2 giờ cho một yêu cầu không có trong Jira, các bạn bắt buộc phải ping cho mình. </t>
  </si>
  <si>
    <t xml:space="preserve">Không phải để mình cấm, mà để mình đi đòi thêm tiền hoặc thời gian cho các bạn."</t>
  </si>
  <si>
    <t xml:space="preserve"> Holiday</t>
  </si>
  <si>
    <t xml:space="preserve"> Weeken</t>
  </si>
  <si>
    <t xml:space="preserve">Gantt chart</t>
  </si>
  <si>
    <t>throughout</t>
  </si>
  <si>
    <t xml:space="preserve">Project planning &amp; WBS</t>
  </si>
  <si>
    <t xml:space="preserve">~ 1 month + 1 week</t>
  </si>
  <si>
    <t xml:space="preserve">UI Design</t>
  </si>
  <si>
    <t xml:space="preserve">3 weeks + 1 day</t>
  </si>
  <si>
    <t xml:space="preserve">Wireframe (all pages)</t>
  </si>
  <si>
    <t xml:space="preserve">2 week</t>
  </si>
  <si>
    <t>2.3.3</t>
  </si>
  <si>
    <t xml:space="preserve">1 ~ 3 day</t>
  </si>
  <si>
    <t xml:space="preserve">Frontend development</t>
  </si>
  <si>
    <t xml:space="preserve">~ 2 months</t>
  </si>
  <si>
    <t xml:space="preserve">Fix exiting bugs</t>
  </si>
  <si>
    <t>3.1.1</t>
  </si>
  <si>
    <t xml:space="preserve">UI / UX bugs</t>
  </si>
  <si>
    <t>3.1.2</t>
  </si>
  <si>
    <t xml:space="preserve">Logic bugs</t>
  </si>
  <si>
    <t xml:space="preserve">2.5 weeks</t>
  </si>
  <si>
    <t xml:space="preserve">Subtitle feature</t>
  </si>
  <si>
    <t xml:space="preserve">2.1 + 2.3</t>
  </si>
  <si>
    <t xml:space="preserve">2 weeks + 1 day</t>
  </si>
  <si>
    <t xml:space="preserve">Upload subtitle</t>
  </si>
  <si>
    <t xml:space="preserve">Update / delete subtitle</t>
  </si>
  <si>
    <t>3.2.3</t>
  </si>
  <si>
    <t xml:space="preserve">View subtitle with video</t>
  </si>
  <si>
    <t xml:space="preserve">Backend development</t>
  </si>
  <si>
    <t xml:space="preserve">1 week + 3 days</t>
  </si>
  <si>
    <t xml:space="preserve">Subtitle with video source</t>
  </si>
  <si>
    <t xml:space="preserve">Development deployment</t>
  </si>
  <si>
    <t xml:space="preserve">2.1 + 3.0 + 4.0 + 5.1 + 5.2 + 5.3 + 5.4</t>
  </si>
  <si>
    <t xml:space="preserve">1 days</t>
  </si>
  <si>
    <t>5.6</t>
  </si>
  <si>
    <t xml:space="preserve">UAT deployment</t>
  </si>
  <si>
    <t xml:space="preserve">Functional testing</t>
  </si>
  <si>
    <t xml:space="preserve">6.1 + 5.5</t>
  </si>
  <si>
    <t xml:space="preserve">Peformance testing</t>
  </si>
  <si>
    <t xml:space="preserve">Security testing</t>
  </si>
  <si>
    <t xml:space="preserve">UAT testing with stackholder</t>
  </si>
  <si>
    <t xml:space="preserve">6.1 + 5.6</t>
  </si>
  <si>
    <t xml:space="preserve">1 week + 1 day</t>
  </si>
  <si>
    <t xml:space="preserve">1. Lấy một dự án bạn đang/sẽ làm, tổ chức brainstorming 60 phút để identify ít nhất 10 rủi ro.</t>
  </si>
  <si>
    <t xml:space="preserve">2. Score từng rủi ro và điền vào Risk Register template ở trên.</t>
  </si>
  <si>
    <t xml:space="preserve">3. Với 3 rủi ro có score cao nhất, viết chi tiết Response Plan (prevention + contingency).</t>
  </si>
  <si>
    <t xml:space="preserve">4. Xác định trigger condition cho mỗi HIGH risk.</t>
  </si>
  <si>
    <t>ID</t>
  </si>
  <si>
    <t xml:space="preserve">Mô tả rủi ro</t>
  </si>
  <si>
    <t>Loại</t>
  </si>
  <si>
    <t xml:space="preserve">Xác suất</t>
  </si>
  <si>
    <t>Impact</t>
  </si>
  <si>
    <t>Score</t>
  </si>
  <si>
    <t xml:space="preserve">Chiến lược</t>
  </si>
  <si>
    <t xml:space="preserve">Hành động cụ thể</t>
  </si>
  <si>
    <t>Owner</t>
  </si>
  <si>
    <t>Deadline</t>
  </si>
  <si>
    <t xml:space="preserve">Trạng thái</t>
  </si>
  <si>
    <t>R001</t>
  </si>
  <si>
    <t xml:space="preserve">Key member nghỉ việc</t>
  </si>
  <si>
    <t>Resource</t>
  </si>
  <si>
    <t>Mitigate</t>
  </si>
  <si>
    <t xml:space="preserve">Pair programming, document knowledge, retention bonus</t>
  </si>
  <si>
    <t xml:space="preserve">Tuần 2</t>
  </si>
  <si>
    <t>Active</t>
  </si>
  <si>
    <t>R002</t>
  </si>
  <si>
    <t xml:space="preserve">Budget bị cắt do tình hình kinh tế</t>
  </si>
  <si>
    <t>Organizational</t>
  </si>
  <si>
    <t xml:space="preserve">Transfer + Accept</t>
  </si>
  <si>
    <t xml:space="preserve">MoSCoW features, ship core MVP</t>
  </si>
  <si>
    <t>R003</t>
  </si>
  <si>
    <t xml:space="preserve">Môi trường test không đủ simulate production</t>
  </si>
  <si>
    <t>Technical</t>
  </si>
  <si>
    <t xml:space="preserve">Yêu cầu production-like test env từ đầu</t>
  </si>
  <si>
    <t xml:space="preserve">Infra lead</t>
  </si>
  <si>
    <t>R004</t>
  </si>
  <si>
    <t xml:space="preserve">Dev thiếu kỹ năng technical do source quá cũ</t>
  </si>
  <si>
    <t xml:space="preserve">Avoid + Mitigate</t>
  </si>
  <si>
    <t xml:space="preserve">Thay đổi dev hoặc cho tech lead pair 1:1 trong 1~2 tháng làm song song với dev hiện tại</t>
  </si>
  <si>
    <t>R005</t>
  </si>
  <si>
    <t xml:space="preserve">Scope creep</t>
  </si>
  <si>
    <t xml:space="preserve">WBS, project-charter rõ ràng có sign-off</t>
  </si>
  <si>
    <t>R006</t>
  </si>
  <si>
    <t xml:space="preserve">Tester test không đủ do năng lực / dự án</t>
  </si>
  <si>
    <t xml:space="preserve">Thay đổi tester hoặc review test-case, test document kỹ và chi tiết, define ra các case có thể xảy ra</t>
  </si>
  <si>
    <t xml:space="preserve">QA lead</t>
  </si>
  <si>
    <t>R007</t>
  </si>
  <si>
    <t xml:space="preserve">Source quá cũ dẫn đến khó maintain</t>
  </si>
  <si>
    <t>Accept</t>
  </si>
  <si>
    <t>R008</t>
  </si>
  <si>
    <t xml:space="preserve">Khách hàng review chậm, approval bị delay</t>
  </si>
  <si>
    <t xml:space="preserve">Cho khách deadline để approval, nếu tới hạn khách chưa trả lời thì tự động xác nhận đã approval</t>
  </si>
  <si>
    <t>R009</t>
  </si>
  <si>
    <t xml:space="preserve">Security vulnerability phát hiện muộn</t>
  </si>
  <si>
    <t>R010</t>
  </si>
  <si>
    <t xml:space="preserve">Estimate sai</t>
  </si>
  <si>
    <t xml:space="preserve">Buffer estimate</t>
  </si>
  <si>
    <t xml:space="preserve">Risk ID: R001
Mô tả: Key developer Nguyễn Văn A (80% task backend) có thể nghỉ việc
Trigger: A thông báo nghỉ hoặc có dấu hiệu muốn nghỉ
Chiến lược: Mitigate
Hành động TRƯỚC khi rủi ro xảy ra (Prevention):
  1. Pair programming: A làm chính, Nguyễn Văn B làm phụ trên 70% task quan trọng
  2. Wiki documentation: A phải document toàn bộ technical decision trong 2 tuần đầu
  3. Code review bắt buộc: B review 100% code của A (knowledge transfer)
  4. 1:1 với A mỗi 2 tuần để nắm tâm lý, nhu cầu
Contingency plan (khi rủi ro xảy ra):
  1. Ngay lập tức: B take over, PM thông báo sponsor
  2. Trong 48h: assess impact, update timeline
  3. Trong 1 tuần: quyết định có cần hire thêm không
  4. Backup: liên hệ staffing agency (đã research sẵn 2 agency)
Owner: Tech Lead Trần Thị C
Review date: Hàng tuần trong weekly risk meeting</t>
  </si>
  <si>
    <t xml:space="preserve">Risk ID: R004
Mô tả: developer A làm task frontend có thể thiếu kỹ năng technical cho source code old version
Trigger: Task do A đảm nhận bị trễ deadine, xuất hiện blocker do source cũ
Chiến lược: Avoid + Mitigate
Hành động trước khi rủy ro xảy ra (Prevention):
  1. Nếu có thể, hãy thay đổi 1 dev khác có thể làm việc với source code cũ (Avoid)
  2. Nếu không thể, cho tech lead pair 1-1 với dev để hiểu được source code
  3. Review PR, mỗi PR của dev tạo ra sẽ được tech lead review kỹ để chỉ ra các điểm có thể thay đổi, nhằm thay đổi mindset và kỹ năng của dev
Contingency plan (khi rủi ro xảy ra)
  1. Ngay lập tức: Tech lead vào support, có thể take over
  2. Trong 48h: update timeline, deadline task
  3. Trong 1 tuần: nếu task kéo quá dài, thông báo cho sponsor
Owner: Tech lead
</t>
  </si>
  <si>
    <t xml:space="preserve">Risk ID: R006
Mô tả: Tester define test case, test document thiếu do chưa hiểu rõ dự án / kinh nghiệm chưa đủ
Trigger: Test case không đủ, liên tục có bug bị lọt vì test case thiếu
Chiến lược: Avoid + Mitigate
Hành động trước khi rủy ro xảy ra (Prevention):
  1. Nếu có thể, hãy thay đổi 1 tester khác có năng lực (Avoid)
  2. Nếu không thể, cho tech lead + PM + QA pair với tester để hiểu rõ dự án hơn
  3. Review test case, test document: QA cần review lại test case, test document để chắc chắn rằng đã đủ test case, nhằm đảm bảo k có bug bị lọt vì thiếu test case 
Contingency plan (khi rủi ro xảy ra)
  1. Ngay lập tức: Tech lead vào support test, QA check lại test case, PM thông báo với sponsor
  2. Trong 48h: update test case, update test document
  3. Trong 1 tuần: quyết định có cần thuê thêm tester không, update case study cho dự án và tester, document lại lỗi để làm tài liệu tranining
Owner: QA lead
</t>
  </si>
  <si>
    <t xml:space="preserve"> </t>
  </si>
  <si>
    <t xml:space="preserve">Planned Value (PV)</t>
  </si>
  <si>
    <t xml:space="preserve">Earned Value (EV)</t>
  </si>
  <si>
    <t xml:space="preserve">Actual Cost (AC)</t>
  </si>
  <si>
    <t xml:space="preserve">I. Variance (Độ Lệch)</t>
  </si>
  <si>
    <t xml:space="preserve">CV — Cost Variance (Độ Lệch Chi Phí)</t>
  </si>
  <si>
    <t xml:space="preserve">SV — Schedule Variance (Độ Lệch Tiến Độ)</t>
  </si>
  <si>
    <t xml:space="preserve">CV = EV - AC </t>
  </si>
  <si>
    <t xml:space="preserve">SV = EV - PV </t>
  </si>
  <si>
    <t xml:space="preserve">- CV &gt; 0: Under budget (tốt)</t>
  </si>
  <si>
    <t xml:space="preserve">- SV &gt; 0: Ahead of schedule (tốt)</t>
  </si>
  <si>
    <t xml:space="preserve">- CV &lt; 0: Over budget (xấu)</t>
  </si>
  <si>
    <t xml:space="preserve">- SV = 0: Đúng tiến độ</t>
  </si>
  <si>
    <t xml:space="preserve">- CV = 0: Đúng ngân sách</t>
  </si>
  <si>
    <t xml:space="preserve">II.Performance Indexes (Chỉ Số Hiệu Suất)</t>
  </si>
  <si>
    <t xml:space="preserve">CPI — Cost Performance Index</t>
  </si>
  <si>
    <t xml:space="preserve">SPI — Schedule Performance Index
</t>
  </si>
  <si>
    <t xml:space="preserve">CPI = EV / AC</t>
  </si>
  <si>
    <t xml:space="preserve">SPI = EV / PV</t>
  </si>
  <si>
    <t xml:space="preserve">- CPI &gt; 1.0: Hiệu quả — mỗi đồng chi ra tạo ra hơn 1 đồng giá trị</t>
  </si>
  <si>
    <t xml:space="preserve">- SPI &gt; 1.0: Ahead of schedule</t>
  </si>
  <si>
    <t xml:space="preserve">- CPI=1:Đúng kế hoạch</t>
  </si>
  <si>
    <t xml:space="preserve">- SPI = 1.0: Đúng tiến độ</t>
  </si>
  <si>
    <t xml:space="preserve">- CPI &lt; 1.0: Không hiệu quả — mỗi đồng chi ra tạo ra ít hơn 1 đồng giá trị</t>
  </si>
  <si>
    <t xml:space="preserve">- SPI &lt; 1.0: Behind schedule</t>
  </si>
  <si>
    <t xml:space="preserve">- Cảnh báo: CPI &lt; 0.8 → cần escalate ngay</t>
  </si>
  <si>
    <t xml:space="preserve">- Cảnh báo: SPI &lt; 0.8 → cần action plan ngay</t>
  </si>
  <si>
    <t xml:space="preserve">III.Forecasting (Dự Báo)</t>
  </si>
  <si>
    <t xml:space="preserve">EAC — Estimate at Completion (Ước Tính Tổng Chi Phí Khi Hoàn Thành)</t>
  </si>
  <si>
    <t xml:space="preserve">Có 3 công thức tùy tình huống:</t>
  </si>
  <si>
    <t xml:space="preserve">EAC = BAC / CPI                             (nếu xu hướng hiện tại tiếp tục)
EAC = AC + (BAC - EV)                  (nếu variance là one-time, sẽ không lặp lại)
EAC = AC + (BAC - EV) / CPI        (nếu cả cost và schedule đều ảnh hưởng)</t>
  </si>
  <si>
    <t xml:space="preserve">Công thức phổ biến nhất trong thực tế: EAC = BAC / CPI
</t>
  </si>
  <si>
    <t>EAC</t>
  </si>
  <si>
    <t xml:space="preserve">ETC — Estimate to Complete (Ước Tính Chi Phí Còn Lại)
</t>
  </si>
  <si>
    <t xml:space="preserve">VAC — Variance at Completion (Độ Lệch Khi Hoàn Thành)</t>
  </si>
  <si>
    <t xml:space="preserve">TCPI — To-Complete Performance Index</t>
  </si>
  <si>
    <t xml:space="preserve">ETC = EAC - AC</t>
  </si>
  <si>
    <t xml:space="preserve">VAC = BAC - EAC</t>
  </si>
  <si>
    <t xml:space="preserve">TCPI = (BAC - EV) / (BAC - AC)</t>
  </si>
  <si>
    <t xml:space="preserve">- VAC &gt; 0: Sẽ under budget</t>
  </si>
  <si>
    <t xml:space="preserve">- TCPI cho biết: từ giờ trở đi, mỗi đồng bỏ ra phải tạo ra bao nhiêu giá trị để hoàn thành đúng ngân sách.</t>
  </si>
  <si>
    <t xml:space="preserve">- VAC &lt; 0: Sẽ over budget → báo cáo ngay cho sponsor</t>
  </si>
  <si>
    <t xml:space="preserve">- TCPI &gt; 1.1: Gần như không thể đạt được — cần revise budget hoặc scope</t>
  </si>
  <si>
    <t xml:space="preserve">- TCPI ≤ 1.0: Realistic</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</si>
</sst>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d/mm/yyyy;@"/>
    <numFmt numFmtId="165" formatCode="mm/yy"/>
    <numFmt numFmtId="166" formatCode="dd/mm"/>
  </numFmts>
  <fonts count="15">
    <font>
      <sz val="11.000000"/>
      <color theme="1"/>
      <name val="Calibri"/>
      <scheme val="minor"/>
    </font>
    <font>
      <sz val="11.000000"/>
      <color theme="1"/>
      <name val="Times New Roman"/>
    </font>
    <font>
      <sz val="11.000000"/>
      <name val="Times New Roman"/>
    </font>
    <font>
      <sz val="12.000000"/>
      <name val="Times New Roman"/>
    </font>
    <font>
      <b/>
      <sz val="12.000000"/>
      <name val="Times New Roman"/>
    </font>
    <font>
      <b/>
      <sz val="14.000000"/>
      <name val="Times New Roman"/>
    </font>
    <font>
      <b/>
      <sz val="11.000000"/>
      <name val="Times New Roman"/>
    </font>
    <font>
      <b/>
      <sz val="12.000000"/>
      <color theme="1"/>
      <name val="Times New Roman"/>
    </font>
    <font>
      <b/>
      <sz val="11.000000"/>
      <color theme="1"/>
      <name val="Times New Roman"/>
    </font>
    <font>
      <b/>
      <sz val="12.000000"/>
      <color indexed="64"/>
      <name val="Arial"/>
    </font>
    <font>
      <sz val="12.000000"/>
      <color indexed="64"/>
      <name val="Arial"/>
    </font>
    <font>
      <b/>
      <u/>
      <sz val="12.000000"/>
      <color theme="1"/>
      <name val="Calibri"/>
      <scheme val="minor"/>
    </font>
    <font>
      <b/>
      <sz val="11.000000"/>
      <color theme="1"/>
      <name val="Calibri"/>
      <scheme val="minor"/>
    </font>
    <font>
      <b/>
      <sz val="12.000000"/>
      <color theme="1"/>
      <name val="Calibri"/>
      <scheme val="minor"/>
    </font>
    <font>
      <b/>
      <sz val="11.000000"/>
      <name val="Calibri"/>
      <scheme val="minor"/>
    </font>
  </fonts>
  <fills count="9">
    <fill>
      <patternFill patternType="none"/>
    </fill>
    <fill>
      <patternFill patternType="gray125"/>
    </fill>
    <fill>
      <patternFill patternType="solid">
        <fgColor theme="0" tint="0"/>
        <bgColor theme="0" tint="0"/>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7" tint="-0.499984740745262"/>
        <bgColor theme="7" tint="-0.499984740745262"/>
      </patternFill>
    </fill>
    <fill>
      <patternFill patternType="solid">
        <fgColor theme="0" tint="-0.499984740745262"/>
        <bgColor theme="0" tint="-0.499984740745262"/>
      </patternFill>
    </fill>
    <fill>
      <patternFill patternType="solid">
        <fgColor theme="9" tint="-0.249977111117893"/>
        <bgColor theme="9" tint="-0.249977111117893"/>
      </patternFill>
    </fill>
    <fill>
      <patternFill patternType="solid">
        <fgColor theme="0" tint="-0.14999847407452621"/>
        <bgColor theme="0" tint="-0.14999847407452621"/>
      </patternFill>
    </fill>
  </fills>
  <borders count="98">
    <border>
      <left style="none"/>
      <right style="none"/>
      <top style="none"/>
      <bottom style="none"/>
      <diagonal style="none"/>
    </border>
    <border>
      <left style="thin">
        <color auto="1"/>
      </left>
      <right style="thin">
        <color auto="1"/>
      </right>
      <top style="thin">
        <color auto="1"/>
      </top>
      <bottom style="none"/>
      <diagonal style="none"/>
    </border>
    <border>
      <left style="none"/>
      <right style="thin">
        <color auto="1"/>
      </right>
      <top style="thin">
        <color auto="1"/>
      </top>
      <bottom style="none"/>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thin">
        <color auto="1"/>
      </left>
      <right style="thin">
        <color auto="1"/>
      </right>
      <top style="none"/>
      <bottom style="none"/>
      <diagonal style="none"/>
    </border>
    <border>
      <left style="none"/>
      <right style="thin">
        <color auto="1"/>
      </right>
      <top style="none"/>
      <bottom style="none"/>
      <diagonal style="none"/>
    </border>
    <border>
      <left style="thin">
        <color auto="1"/>
      </left>
      <right style="none"/>
      <top style="none"/>
      <bottom style="none"/>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ck">
        <color auto="1"/>
      </top>
      <bottom style="thin">
        <color auto="1"/>
      </bottom>
      <diagonal style="none"/>
    </border>
    <border>
      <left style="none"/>
      <right style="thin">
        <color auto="1"/>
      </right>
      <top style="thick">
        <color auto="1"/>
      </top>
      <bottom style="thin">
        <color auto="1"/>
      </bottom>
      <diagonal style="none"/>
    </border>
    <border>
      <left style="none"/>
      <right style="thin">
        <color auto="1"/>
      </right>
      <top style="none"/>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ck">
        <color auto="1"/>
      </top>
      <bottom style="none"/>
      <diagonal style="none"/>
    </border>
    <border>
      <left style="thin">
        <color indexed="64"/>
      </left>
      <right style="thin">
        <color indexed="64"/>
      </right>
      <top style="thin">
        <color indexed="64"/>
      </top>
      <bottom style="thin">
        <color indexed="64"/>
      </bottom>
      <diagonal style="none"/>
    </border>
    <border>
      <left style="none"/>
      <right style="none"/>
      <top style="dashed">
        <color auto="1"/>
      </top>
      <bottom style="none"/>
      <diagonal style="none"/>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dashed">
        <color auto="1"/>
      </left>
      <right style="none"/>
      <top style="dashed">
        <color auto="1"/>
      </top>
      <bottom style="none"/>
      <diagonal style="none"/>
    </border>
    <border>
      <left style="none"/>
      <right style="dashed">
        <color auto="1"/>
      </right>
      <top style="dashed">
        <color auto="1"/>
      </top>
      <bottom style="none"/>
      <diagonal style="none"/>
    </border>
    <border>
      <left style="dashed">
        <color auto="1"/>
      </left>
      <right style="none"/>
      <top style="none"/>
      <bottom style="none"/>
      <diagonal style="none"/>
    </border>
    <border>
      <left style="none"/>
      <right style="dashed">
        <color auto="1"/>
      </right>
      <top style="none"/>
      <bottom style="none"/>
      <diagonal style="none"/>
    </border>
    <border>
      <left style="dashed">
        <color auto="1"/>
      </left>
      <right style="none"/>
      <top style="none"/>
      <bottom style="dashed">
        <color auto="1"/>
      </bottom>
      <diagonal style="none"/>
    </border>
    <border>
      <left style="none"/>
      <right style="none"/>
      <top style="none"/>
      <bottom style="dashed">
        <color auto="1"/>
      </bottom>
      <diagonal style="none"/>
    </border>
    <border>
      <left style="none"/>
      <right style="dashed">
        <color auto="1"/>
      </right>
      <top style="none"/>
      <bottom style="dashed">
        <color auto="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thin">
        <color theme="1"/>
      </right>
      <top style="none"/>
      <bottom style="thin">
        <color theme="1"/>
      </bottom>
      <diagonal style="none"/>
    </border>
    <border>
      <left style="dashed">
        <color auto="1"/>
      </left>
      <right style="none"/>
      <top style="dashed">
        <color auto="1"/>
      </top>
      <bottom style="dashed">
        <color auto="1"/>
      </bottom>
      <diagonal style="none"/>
    </border>
    <border>
      <left style="none"/>
      <right style="none"/>
      <top style="dashed">
        <color auto="1"/>
      </top>
      <bottom style="dashed">
        <color auto="1"/>
      </bottom>
      <diagonal style="none"/>
    </border>
    <border>
      <left style="thick">
        <color auto="1"/>
      </left>
      <right style="none"/>
      <top style="dashed">
        <color auto="1"/>
      </top>
      <bottom style="dashed">
        <color auto="1"/>
      </bottom>
      <diagonal style="none"/>
    </border>
    <border>
      <left style="none"/>
      <right style="thick">
        <color auto="1"/>
      </right>
      <top style="dashed">
        <color auto="1"/>
      </top>
      <bottom style="dashed">
        <color auto="1"/>
      </bottom>
      <diagonal style="none"/>
    </border>
    <border>
      <left style="none"/>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thin">
        <color auto="1"/>
      </left>
      <right style="none"/>
      <top style="thin">
        <color auto="1"/>
      </top>
      <bottom style="thin">
        <color auto="1"/>
      </bottom>
      <diagonal style="none"/>
    </border>
    <border>
      <left style="thick">
        <color auto="1"/>
      </left>
      <right style="dashed">
        <color auto="1"/>
      </right>
      <top style="dashed">
        <color auto="1"/>
      </top>
      <bottom style="dashed">
        <color auto="1"/>
      </bottom>
      <diagonal style="none"/>
    </border>
    <border>
      <left style="dashed">
        <color auto="1"/>
      </left>
      <right style="dashed">
        <color auto="1"/>
      </right>
      <top style="dashed">
        <color auto="1"/>
      </top>
      <bottom style="dashed">
        <color auto="1"/>
      </bottom>
      <diagonal style="none"/>
    </border>
    <border>
      <left style="dashed">
        <color auto="1"/>
      </left>
      <right style="thick">
        <color auto="1"/>
      </right>
      <top style="dashed">
        <color auto="1"/>
      </top>
      <bottom style="dashed">
        <color auto="1"/>
      </bottom>
      <diagonal style="none"/>
    </border>
    <border>
      <left style="none"/>
      <right style="dashed">
        <color auto="1"/>
      </right>
      <top style="dashed">
        <color auto="1"/>
      </top>
      <bottom style="dashed">
        <color auto="1"/>
      </bottom>
      <diagonal style="none"/>
    </border>
    <border>
      <left style="thin">
        <color auto="1"/>
      </left>
      <right/>
      <top style="thin">
        <color auto="1"/>
      </top>
      <bottom style="none"/>
      <diagonal/>
    </border>
    <border>
      <left/>
      <right style="thin">
        <color auto="1"/>
      </right>
      <top style="thin">
        <color auto="1"/>
      </top>
      <bottom style="none"/>
      <diagonal/>
    </border>
    <border>
      <left/>
      <right/>
      <top style="thin">
        <color auto="1"/>
      </top>
      <bottom style="none"/>
      <diagonal/>
    </border>
    <border>
      <left style="none"/>
      <right/>
      <top style="thin">
        <color auto="1"/>
      </top>
      <bottom style="none"/>
      <diagonal/>
    </border>
    <border>
      <left style="thin">
        <color auto="1"/>
      </left>
      <right/>
      <top style="thin">
        <color auto="1"/>
      </top>
      <bottom style="thin">
        <color auto="1"/>
      </bottom>
      <diagonal/>
    </border>
    <border>
      <left style="none"/>
      <right style="none"/>
      <top style="thin">
        <color auto="1"/>
      </top>
      <bottom style="thin">
        <color auto="1"/>
      </bottom>
      <diagonal style="none"/>
    </border>
    <border>
      <left/>
      <right/>
      <top style="thin">
        <color auto="1"/>
      </top>
      <bottom style="thin">
        <color auto="1"/>
      </bottom>
      <diagonal/>
    </border>
    <border>
      <left style="none"/>
      <right/>
      <top style="thin">
        <color auto="1"/>
      </top>
      <bottom style="thin">
        <color auto="1"/>
      </bottom>
      <diagonal/>
    </border>
    <border>
      <left style="none"/>
      <right style="thin">
        <color auto="1"/>
      </right>
      <top style="thin">
        <color auto="1"/>
      </top>
      <bottom style="thin">
        <color auto="1"/>
      </bottom>
      <diagonal style="none"/>
    </border>
    <border>
      <left style="thin">
        <color auto="1"/>
      </left>
      <right/>
      <top style="thin">
        <color auto="1"/>
      </top>
      <bottom style="thin">
        <color auto="1"/>
      </bottom>
      <diagonal style="none"/>
    </border>
    <border>
      <left/>
      <right/>
      <top style="thin">
        <color auto="1"/>
      </top>
      <bottom style="thin">
        <color auto="1"/>
      </bottom>
      <diagonal style="none"/>
    </border>
    <border>
      <left/>
      <right style="thin">
        <color auto="1"/>
      </right>
      <top style="thin">
        <color auto="1"/>
      </top>
      <bottom style="thin">
        <color auto="1"/>
      </bottom>
      <diagonal style="none"/>
    </border>
    <border>
      <left style="dotted">
        <color auto="1"/>
      </left>
      <right style="none"/>
      <top style="dotted">
        <color auto="1"/>
      </top>
      <bottom style="none"/>
      <diagonal style="none"/>
    </border>
    <border>
      <left style="none"/>
      <right style="none"/>
      <top style="dotted">
        <color auto="1"/>
      </top>
      <bottom style="none"/>
      <diagonal style="none"/>
    </border>
    <border>
      <left style="none"/>
      <right style="dotted">
        <color auto="1"/>
      </right>
      <top style="dotted">
        <color auto="1"/>
      </top>
      <bottom style="none"/>
      <diagonal style="none"/>
    </border>
    <border>
      <left style="dotted">
        <color auto="1"/>
      </left>
      <right/>
      <top style="dotted">
        <color auto="1"/>
      </top>
      <bottom/>
      <diagonal style="none"/>
    </border>
    <border>
      <left/>
      <right/>
      <top style="dotted">
        <color auto="1"/>
      </top>
      <bottom/>
      <diagonal style="none"/>
    </border>
    <border>
      <left/>
      <right style="dotted">
        <color auto="1"/>
      </right>
      <top style="dotted">
        <color auto="1"/>
      </top>
      <bottom/>
      <diagonal style="none"/>
    </border>
    <border>
      <left style="dotted">
        <color auto="1"/>
      </left>
      <right style="none"/>
      <top style="none"/>
      <bottom style="none"/>
      <diagonal style="none"/>
    </border>
    <border>
      <left style="none"/>
      <right style="dotted">
        <color auto="1"/>
      </right>
      <top style="none"/>
      <bottom style="none"/>
      <diagonal style="none"/>
    </border>
    <border>
      <left style="dotted">
        <color auto="1"/>
      </left>
      <right/>
      <top/>
      <bottom/>
      <diagonal style="none"/>
    </border>
    <border>
      <left/>
      <right style="dotted">
        <color auto="1"/>
      </right>
      <top/>
      <bottom/>
      <diagonal style="none"/>
    </border>
    <border>
      <left style="dotted">
        <color auto="1"/>
      </left>
      <right style="none"/>
      <top style="none"/>
      <bottom style="dotted">
        <color auto="1"/>
      </bottom>
      <diagonal style="none"/>
    </border>
    <border>
      <left style="none"/>
      <right style="none"/>
      <top style="none"/>
      <bottom style="dotted">
        <color auto="1"/>
      </bottom>
      <diagonal style="none"/>
    </border>
    <border>
      <left style="none"/>
      <right style="dotted">
        <color auto="1"/>
      </right>
      <top style="none"/>
      <bottom style="dotted">
        <color auto="1"/>
      </bottom>
      <diagonal style="none"/>
    </border>
    <border>
      <left style="dotted">
        <color auto="1"/>
      </left>
      <right/>
      <top/>
      <bottom style="dotted">
        <color auto="1"/>
      </bottom>
      <diagonal style="none"/>
    </border>
    <border>
      <left/>
      <right/>
      <top/>
      <bottom style="dotted">
        <color auto="1"/>
      </bottom>
      <diagonal style="none"/>
    </border>
    <border>
      <left/>
      <right style="dotted">
        <color auto="1"/>
      </right>
      <top/>
      <bottom style="dotted">
        <color auto="1"/>
      </bottom>
      <diagonal style="none"/>
    </border>
    <border>
      <left style="dashDot">
        <color auto="1"/>
      </left>
      <right style="none"/>
      <top style="dashDot">
        <color auto="1"/>
      </top>
      <bottom style="none"/>
      <diagonal style="none"/>
    </border>
    <border>
      <left style="none"/>
      <right style="none"/>
      <top style="dashDot">
        <color auto="1"/>
      </top>
      <bottom style="none"/>
      <diagonal style="none"/>
    </border>
    <border>
      <left style="none"/>
      <right style="dashDot">
        <color auto="1"/>
      </right>
      <top style="dashDot">
        <color auto="1"/>
      </top>
      <bottom style="none"/>
      <diagonal style="none"/>
    </border>
    <border>
      <left style="dashDot">
        <color auto="1"/>
      </left>
      <right style="none"/>
      <top style="none"/>
      <bottom style="none"/>
      <diagonal style="none"/>
    </border>
    <border>
      <left style="none"/>
      <right style="dashDot">
        <color auto="1"/>
      </right>
      <top style="none"/>
      <bottom style="none"/>
      <diagonal style="none"/>
    </border>
    <border>
      <left style="dashDot">
        <color auto="1"/>
      </left>
      <right style="none"/>
      <top style="none"/>
      <bottom style="dashDot">
        <color auto="1"/>
      </bottom>
      <diagonal style="none"/>
    </border>
    <border>
      <left style="none"/>
      <right style="none"/>
      <top style="none"/>
      <bottom style="dashDot">
        <color auto="1"/>
      </bottom>
      <diagonal style="none"/>
    </border>
    <border>
      <left style="none"/>
      <right style="dashDot">
        <color auto="1"/>
      </right>
      <top style="none"/>
      <bottom style="dashDot">
        <color auto="1"/>
      </bottom>
      <diagonal style="none"/>
    </border>
  </borders>
  <cellStyleXfs count="1">
    <xf fontId="0" fillId="0" borderId="0" numFmtId="0" applyNumberFormat="1" applyFont="1" applyFill="1" applyBorder="1"/>
  </cellStyleXfs>
  <cellXfs count="335">
    <xf fontId="0" fillId="0" borderId="0" numFmtId="0" xfId="0"/>
    <xf fontId="1" fillId="0" borderId="0" numFmtId="0" xfId="0" applyFont="1" applyAlignment="1">
      <alignment vertical="center"/>
    </xf>
    <xf fontId="2" fillId="0" borderId="0" numFmtId="0" xfId="0" applyFont="1" applyAlignment="1">
      <alignment vertical="center"/>
      <protection hidden="0" locked="1"/>
    </xf>
    <xf fontId="3" fillId="2" borderId="0" numFmtId="0" xfId="0" applyFont="1" applyFill="1" applyAlignment="1">
      <alignment vertical="center"/>
    </xf>
    <xf fontId="4" fillId="3" borderId="1" numFmtId="0" xfId="0" applyFont="1" applyFill="1" applyBorder="1" applyAlignment="1">
      <alignment horizontal="right" vertical="center"/>
    </xf>
    <xf fontId="3" fillId="2" borderId="1" numFmtId="0" xfId="0" applyFont="1" applyFill="1" applyBorder="1" applyAlignment="1">
      <alignment vertical="center"/>
      <protection locked="0"/>
    </xf>
    <xf fontId="3" fillId="2" borderId="0" numFmtId="0" xfId="0" applyFont="1" applyFill="1" applyAlignment="1">
      <alignment horizontal="left" indent="1" vertical="center"/>
      <protection locked="0"/>
    </xf>
    <xf fontId="3" fillId="2" borderId="2" numFmtId="164" xfId="0" applyNumberFormat="1" applyFont="1" applyFill="1" applyBorder="1" applyAlignment="1">
      <alignment horizontal="left" vertical="center"/>
      <protection locked="0"/>
    </xf>
    <xf fontId="4" fillId="3" borderId="3" numFmtId="0" xfId="0" applyFont="1" applyFill="1" applyBorder="1" applyAlignment="1">
      <alignment horizontal="left" vertical="center"/>
    </xf>
    <xf fontId="4" fillId="3" borderId="4" numFmtId="0" xfId="0" applyFont="1" applyFill="1" applyBorder="1" applyAlignment="1">
      <alignment horizontal="left" vertical="center"/>
    </xf>
    <xf fontId="4" fillId="3" borderId="2" numFmtId="0" xfId="0" applyFont="1" applyFill="1" applyBorder="1" applyAlignment="1">
      <alignment horizontal="left" vertical="center"/>
    </xf>
    <xf fontId="4" fillId="3" borderId="5" numFmtId="0" xfId="0" applyFont="1" applyFill="1" applyBorder="1" applyAlignment="1">
      <alignment horizontal="right" vertical="center"/>
    </xf>
    <xf fontId="3" fillId="2" borderId="5" numFmtId="0" xfId="0" applyFont="1" applyFill="1" applyBorder="1" applyAlignment="1">
      <alignment vertical="center"/>
      <protection locked="0"/>
    </xf>
    <xf fontId="3" fillId="2" borderId="6" numFmtId="164" xfId="0" applyNumberFormat="1" applyFont="1" applyFill="1" applyBorder="1" applyAlignment="1">
      <alignment horizontal="left" vertical="center"/>
      <protection locked="0"/>
    </xf>
    <xf fontId="3" fillId="2" borderId="3" numFmtId="0" xfId="0" applyFont="1" applyFill="1" applyBorder="1" applyAlignment="1">
      <alignment horizontal="left" vertical="center" wrapText="1"/>
      <protection locked="0"/>
    </xf>
    <xf fontId="3" fillId="2" borderId="4" numFmtId="0" xfId="0" applyFont="1" applyFill="1" applyBorder="1" applyAlignment="1">
      <alignment horizontal="left" vertical="center" wrapText="1"/>
      <protection locked="0"/>
    </xf>
    <xf fontId="3" fillId="2" borderId="2" numFmtId="0" xfId="0" applyFont="1" applyFill="1" applyBorder="1" applyAlignment="1">
      <alignment horizontal="left" vertical="center" wrapText="1"/>
      <protection locked="0"/>
    </xf>
    <xf fontId="3" fillId="2" borderId="7" numFmtId="0" xfId="0" applyFont="1" applyFill="1" applyBorder="1" applyAlignment="1">
      <alignment horizontal="left" vertical="center" wrapText="1"/>
      <protection locked="0"/>
    </xf>
    <xf fontId="3" fillId="2" borderId="0" numFmtId="0" xfId="0" applyFont="1" applyFill="1" applyAlignment="1">
      <alignment horizontal="left" vertical="center" wrapText="1"/>
      <protection locked="0"/>
    </xf>
    <xf fontId="3" fillId="2" borderId="6" numFmtId="0" xfId="0" applyFont="1" applyFill="1" applyBorder="1" applyAlignment="1">
      <alignment horizontal="left" vertical="center" wrapText="1"/>
      <protection locked="0"/>
    </xf>
    <xf fontId="4" fillId="3" borderId="8" numFmtId="0" xfId="0" applyFont="1" applyFill="1" applyBorder="1" applyAlignment="1">
      <alignment horizontal="right" vertical="center"/>
    </xf>
    <xf fontId="3" fillId="2" borderId="8" numFmtId="0" xfId="0" applyFont="1" applyFill="1" applyBorder="1" applyAlignment="1">
      <alignment vertical="center"/>
      <protection locked="0"/>
    </xf>
    <xf fontId="4" fillId="2" borderId="0" numFmtId="0" xfId="0" applyFont="1" applyFill="1" applyAlignment="1">
      <alignment horizontal="right" indent="1" vertical="center"/>
    </xf>
    <xf fontId="3" fillId="2" borderId="0" numFmtId="0" xfId="0" applyFont="1" applyFill="1" applyAlignment="1">
      <alignment horizontal="left" indent="1" vertical="center"/>
      <protection locked="0"/>
    </xf>
    <xf fontId="3" fillId="2" borderId="9" numFmtId="164" xfId="0" applyNumberFormat="1" applyFont="1" applyFill="1" applyBorder="1" applyAlignment="1">
      <alignment horizontal="left" vertical="center"/>
      <protection locked="0"/>
    </xf>
    <xf fontId="3" fillId="2" borderId="10" numFmtId="0" xfId="0" applyFont="1" applyFill="1" applyBorder="1" applyAlignment="1">
      <alignment horizontal="left" vertical="center" wrapText="1"/>
      <protection locked="0"/>
    </xf>
    <xf fontId="3" fillId="2" borderId="11" numFmtId="0" xfId="0" applyFont="1" applyFill="1" applyBorder="1" applyAlignment="1">
      <alignment horizontal="left" vertical="center" wrapText="1"/>
      <protection locked="0"/>
    </xf>
    <xf fontId="3" fillId="2" borderId="9" numFmtId="0" xfId="0" applyFont="1" applyFill="1" applyBorder="1" applyAlignment="1">
      <alignment horizontal="left" vertical="center" wrapText="1"/>
      <protection locked="0"/>
    </xf>
    <xf fontId="2" fillId="0" borderId="0" numFmtId="0" xfId="0" applyFont="1" applyAlignment="1">
      <alignment horizontal="left" indent="1" vertical="center"/>
    </xf>
    <xf fontId="1" fillId="0" borderId="0" numFmtId="0" xfId="0" applyFont="1" applyAlignment="1">
      <alignment vertical="center"/>
      <protection hidden="0" locked="1"/>
    </xf>
    <xf fontId="2" fillId="0" borderId="0" numFmtId="0" xfId="0" applyFont="1" applyAlignment="1">
      <alignment vertical="center"/>
    </xf>
    <xf fontId="5" fillId="3" borderId="0" numFmtId="0" xfId="0" applyFont="1" applyFill="1" applyAlignment="1">
      <alignment horizontal="left" vertical="center"/>
    </xf>
    <xf fontId="5" fillId="0" borderId="0" numFmtId="0" xfId="0" applyFont="1" applyAlignment="1">
      <alignment horizontal="left" indent="1" vertical="center"/>
    </xf>
    <xf fontId="1" fillId="0" borderId="0" numFmtId="0" xfId="0" applyFont="1" applyAlignment="1">
      <alignment horizontal="center" vertical="center"/>
    </xf>
    <xf fontId="2" fillId="0" borderId="0" numFmtId="0" xfId="0" applyFont="1" applyAlignment="1">
      <alignment horizontal="center" vertical="center"/>
      <protection hidden="0" locked="1"/>
    </xf>
    <xf fontId="4" fillId="3" borderId="12" numFmtId="0" xfId="0" applyFont="1" applyFill="1" applyBorder="1" applyAlignment="1">
      <alignment horizontal="center" vertical="center"/>
    </xf>
    <xf fontId="1" fillId="2" borderId="0" numFmtId="0" xfId="0" applyFont="1" applyFill="1" applyAlignment="1">
      <alignment vertical="center"/>
    </xf>
    <xf fontId="2" fillId="2" borderId="0" numFmtId="0" xfId="0" applyFont="1" applyFill="1" applyAlignment="1">
      <alignment vertical="center"/>
      <protection hidden="0" locked="1"/>
    </xf>
    <xf fontId="4" fillId="2" borderId="12" numFmtId="49" xfId="0" applyNumberFormat="1" applyFont="1" applyFill="1" applyBorder="1" applyAlignment="1">
      <alignment horizontal="right" vertical="center"/>
      <protection locked="0"/>
    </xf>
    <xf fontId="4" fillId="2" borderId="12" numFmtId="0" xfId="0" applyFont="1" applyFill="1" applyBorder="1" applyAlignment="1">
      <alignment horizontal="left" vertical="center"/>
      <protection locked="0"/>
    </xf>
    <xf fontId="1" fillId="2" borderId="12" numFmtId="0" xfId="0" applyFont="1" applyFill="1" applyBorder="1" applyAlignment="1" quotePrefix="1">
      <alignment horizontal="center" vertical="center"/>
      <protection locked="0"/>
    </xf>
    <xf fontId="2" fillId="2" borderId="12" numFmtId="0" xfId="0" applyFont="1" applyFill="1" applyBorder="1" applyAlignment="1">
      <alignment horizontal="center" vertical="center"/>
      <protection locked="0"/>
    </xf>
    <xf fontId="6" fillId="2" borderId="12" numFmtId="164" xfId="0" applyNumberFormat="1" applyFont="1" applyFill="1" applyBorder="1" applyAlignment="1">
      <alignment vertical="center"/>
      <protection locked="0"/>
    </xf>
    <xf fontId="6" fillId="2" borderId="12" numFmtId="164" xfId="0" applyNumberFormat="1" applyFont="1" applyFill="1" applyBorder="1" applyAlignment="1">
      <alignment horizontal="right" vertical="center"/>
      <protection locked="0"/>
    </xf>
    <xf fontId="2" fillId="2" borderId="12" numFmtId="14" xfId="0" applyNumberFormat="1" applyFont="1" applyFill="1" applyBorder="1" applyAlignment="1">
      <alignment vertical="center"/>
      <protection locked="0"/>
    </xf>
    <xf fontId="6" fillId="2" borderId="12" numFmtId="49" xfId="0" applyNumberFormat="1" applyFont="1" applyFill="1" applyBorder="1" applyAlignment="1">
      <alignment horizontal="right" vertical="center"/>
      <protection locked="0"/>
    </xf>
    <xf fontId="6" fillId="2" borderId="12" numFmtId="0" xfId="0" applyFont="1" applyFill="1" applyBorder="1" applyAlignment="1">
      <alignment horizontal="left" vertical="center"/>
      <protection locked="0"/>
    </xf>
    <xf fontId="6" fillId="2" borderId="12" numFmtId="0" xfId="0" applyFont="1" applyFill="1" applyBorder="1" applyAlignment="1">
      <alignment vertical="center"/>
      <protection locked="0"/>
    </xf>
    <xf fontId="2" fillId="2" borderId="12" numFmtId="0" xfId="0" applyFont="1" applyFill="1" applyBorder="1" applyAlignment="1">
      <alignment vertical="center"/>
      <protection locked="0"/>
    </xf>
    <xf fontId="6" fillId="2" borderId="1" numFmtId="49" xfId="0" applyNumberFormat="1" applyFont="1" applyFill="1" applyBorder="1" applyAlignment="1">
      <alignment horizontal="right" vertical="center"/>
      <protection locked="0"/>
    </xf>
    <xf fontId="6" fillId="2" borderId="1" numFmtId="0" xfId="0" applyFont="1" applyFill="1" applyBorder="1" applyAlignment="1">
      <alignment horizontal="left" vertical="center"/>
      <protection locked="0"/>
    </xf>
    <xf fontId="2" fillId="2" borderId="1" numFmtId="0" xfId="0" applyFont="1" applyFill="1" applyBorder="1" applyAlignment="1">
      <alignment horizontal="center" vertical="center"/>
      <protection locked="0"/>
    </xf>
    <xf fontId="6" fillId="2" borderId="1" numFmtId="0" xfId="0" applyFont="1" applyFill="1" applyBorder="1" applyAlignment="1">
      <alignment vertical="center"/>
      <protection locked="0"/>
    </xf>
    <xf fontId="6" fillId="2" borderId="1" numFmtId="164" xfId="0" applyNumberFormat="1" applyFont="1" applyFill="1" applyBorder="1" applyAlignment="1">
      <alignment vertical="center"/>
      <protection locked="0"/>
    </xf>
    <xf fontId="2" fillId="2" borderId="1" numFmtId="0" xfId="0" applyFont="1" applyFill="1" applyBorder="1" applyAlignment="1">
      <alignment vertical="center"/>
      <protection locked="0"/>
    </xf>
    <xf fontId="4" fillId="2" borderId="13" numFmtId="49" xfId="0" applyNumberFormat="1" applyFont="1" applyFill="1" applyBorder="1" applyAlignment="1">
      <alignment horizontal="right" vertical="center"/>
      <protection locked="0"/>
    </xf>
    <xf fontId="4" fillId="2" borderId="13" numFmtId="0" xfId="0" applyFont="1" applyFill="1" applyBorder="1" applyAlignment="1">
      <alignment horizontal="left" vertical="center"/>
      <protection locked="0"/>
    </xf>
    <xf fontId="2" fillId="2" borderId="13" numFmtId="0" xfId="0" applyFont="1" applyFill="1" applyBorder="1" applyAlignment="1">
      <alignment horizontal="center" vertical="center"/>
      <protection locked="0"/>
    </xf>
    <xf fontId="6" fillId="2" borderId="13" numFmtId="0" xfId="0" applyFont="1" applyFill="1" applyBorder="1" applyAlignment="1">
      <alignment vertical="center"/>
      <protection locked="0"/>
    </xf>
    <xf fontId="6" fillId="2" borderId="13" numFmtId="164" xfId="0" applyNumberFormat="1" applyFont="1" applyFill="1" applyBorder="1" applyAlignment="1">
      <alignment vertical="center"/>
      <protection locked="0"/>
    </xf>
    <xf fontId="2" fillId="2" borderId="13" numFmtId="0" xfId="0" applyFont="1" applyFill="1" applyBorder="1" applyAlignment="1">
      <alignment vertical="center"/>
      <protection locked="0"/>
    </xf>
    <xf fontId="2" fillId="2" borderId="12" numFmtId="49" xfId="0" applyNumberFormat="1" applyFont="1" applyFill="1" applyBorder="1" applyAlignment="1">
      <alignment horizontal="right" vertical="center"/>
      <protection locked="0"/>
    </xf>
    <xf fontId="2" fillId="2" borderId="12" numFmtId="0" xfId="0" applyFont="1" applyFill="1" applyBorder="1" applyAlignment="1">
      <alignment horizontal="left" vertical="center"/>
      <protection locked="0"/>
    </xf>
    <xf fontId="2" fillId="2" borderId="12" numFmtId="164" xfId="0" applyNumberFormat="1" applyFont="1" applyFill="1" applyBorder="1" applyAlignment="1">
      <alignment vertical="center"/>
      <protection locked="0"/>
    </xf>
    <xf fontId="2" fillId="2" borderId="1" numFmtId="49" xfId="0" applyNumberFormat="1" applyFont="1" applyFill="1" applyBorder="1" applyAlignment="1">
      <alignment horizontal="right" vertical="center"/>
      <protection locked="0"/>
    </xf>
    <xf fontId="2" fillId="2" borderId="1" numFmtId="0" xfId="0" applyFont="1" applyFill="1" applyBorder="1" applyAlignment="1">
      <alignment horizontal="left" vertical="center"/>
      <protection locked="0"/>
    </xf>
    <xf fontId="2" fillId="2" borderId="1" numFmtId="164" xfId="0" applyNumberFormat="1" applyFont="1" applyFill="1" applyBorder="1" applyAlignment="1">
      <alignment vertical="center"/>
      <protection locked="0"/>
    </xf>
    <xf fontId="1" fillId="2" borderId="13" numFmtId="0" xfId="0" applyFont="1" applyFill="1" applyBorder="1" applyAlignment="1">
      <alignment vertical="center"/>
    </xf>
    <xf fontId="2" fillId="2" borderId="0" numFmtId="0" xfId="0" applyFont="1" applyFill="1" applyAlignment="1">
      <alignment vertical="center" wrapText="1"/>
      <protection hidden="0" locked="1"/>
    </xf>
    <xf fontId="2" fillId="2" borderId="0" numFmtId="0" xfId="0" applyFont="1" applyFill="1" applyAlignment="1">
      <alignment vertical="center" wrapText="1"/>
      <protection locked="0"/>
    </xf>
    <xf fontId="2" fillId="2" borderId="12" numFmtId="0" xfId="0" applyFont="1" applyFill="1" applyBorder="1" applyAlignment="1">
      <alignment vertical="center" wrapText="1"/>
      <protection locked="0"/>
    </xf>
    <xf fontId="1" fillId="2" borderId="1" numFmtId="0" xfId="0" applyFont="1" applyFill="1" applyBorder="1" applyAlignment="1">
      <alignment vertical="center" wrapText="1"/>
      <protection locked="0"/>
    </xf>
    <xf fontId="2" fillId="2" borderId="14" numFmtId="0" xfId="0" applyFont="1" applyFill="1" applyBorder="1" applyAlignment="1">
      <alignment vertical="center" wrapText="1"/>
    </xf>
    <xf fontId="1" fillId="2" borderId="0" numFmtId="0" xfId="0" applyFont="1" applyFill="1" applyAlignment="1">
      <alignment vertical="center" wrapText="1"/>
      <protection locked="0"/>
    </xf>
    <xf fontId="2" fillId="2" borderId="15" numFmtId="0" xfId="0" applyFont="1" applyFill="1" applyBorder="1" applyAlignment="1">
      <alignment vertical="center" wrapText="1"/>
      <protection locked="0"/>
    </xf>
    <xf fontId="2" fillId="2" borderId="8" numFmtId="0" xfId="0" applyFont="1" applyFill="1" applyBorder="1" applyAlignment="1">
      <alignment horizontal="left" vertical="center" wrapText="1"/>
      <protection locked="0"/>
    </xf>
    <xf fontId="1" fillId="2" borderId="0" numFmtId="0" xfId="0" applyFont="1" applyFill="1" applyAlignment="1">
      <alignment vertical="center"/>
      <protection hidden="0" locked="1"/>
    </xf>
    <xf fontId="2" fillId="2" borderId="16" numFmtId="0" xfId="0" applyFont="1" applyFill="1" applyBorder="1" applyAlignment="1">
      <alignment vertical="center" wrapText="1"/>
      <protection locked="0"/>
    </xf>
    <xf fontId="2" fillId="2" borderId="1" numFmtId="0" xfId="0" applyFont="1" applyFill="1" applyBorder="1" applyAlignment="1">
      <alignment horizontal="left" vertical="center" wrapText="1"/>
      <protection locked="0"/>
    </xf>
    <xf fontId="2" fillId="2" borderId="17" numFmtId="0" xfId="0" applyFont="1" applyFill="1" applyBorder="1" applyAlignment="1">
      <alignment horizontal="left" vertical="center"/>
      <protection locked="0"/>
    </xf>
    <xf fontId="7" fillId="2" borderId="13" numFmtId="49" xfId="0" applyNumberFormat="1" applyFont="1" applyFill="1" applyBorder="1" applyAlignment="1">
      <alignment horizontal="right" vertical="center"/>
      <protection locked="0"/>
    </xf>
    <xf fontId="7" fillId="2" borderId="13" numFmtId="0" xfId="0" applyFont="1" applyFill="1" applyBorder="1" applyAlignment="1">
      <alignment horizontal="left" vertical="center"/>
      <protection locked="0"/>
    </xf>
    <xf fontId="1" fillId="2" borderId="13" numFmtId="0" xfId="0" applyFont="1" applyFill="1" applyBorder="1" applyAlignment="1">
      <alignment horizontal="center" vertical="center"/>
      <protection locked="0"/>
    </xf>
    <xf fontId="8" fillId="2" borderId="12" numFmtId="49" xfId="0" applyNumberFormat="1" applyFont="1" applyFill="1" applyBorder="1" applyAlignment="1">
      <alignment horizontal="right" vertical="center"/>
      <protection locked="0"/>
    </xf>
    <xf fontId="8" fillId="2" borderId="12" numFmtId="0" xfId="0" applyFont="1" applyFill="1" applyBorder="1" applyAlignment="1">
      <alignment horizontal="left" vertical="center"/>
      <protection locked="0"/>
    </xf>
    <xf fontId="1" fillId="2" borderId="12" numFmtId="0" xfId="0" applyFont="1" applyFill="1" applyBorder="1" applyAlignment="1">
      <alignment horizontal="center" vertical="center"/>
      <protection locked="0"/>
    </xf>
    <xf fontId="8" fillId="2" borderId="12" numFmtId="0" xfId="0" applyFont="1" applyFill="1" applyBorder="1" applyAlignment="1">
      <alignment vertical="center"/>
      <protection locked="0"/>
    </xf>
    <xf fontId="8" fillId="2" borderId="12" numFmtId="164" xfId="0" applyNumberFormat="1" applyFont="1" applyFill="1" applyBorder="1" applyAlignment="1">
      <alignment vertical="center"/>
      <protection locked="0"/>
    </xf>
    <xf fontId="1" fillId="2" borderId="12" numFmtId="0" xfId="0" applyFont="1" applyFill="1" applyBorder="1" applyAlignment="1">
      <alignment vertical="center"/>
      <protection locked="0"/>
    </xf>
    <xf fontId="8" fillId="2" borderId="1" numFmtId="49" xfId="0" applyNumberFormat="1" applyFont="1" applyFill="1" applyBorder="1" applyAlignment="1">
      <alignment horizontal="right" vertical="center"/>
      <protection locked="0"/>
    </xf>
    <xf fontId="8" fillId="2" borderId="1" numFmtId="0" xfId="0" applyFont="1" applyFill="1" applyBorder="1" applyAlignment="1">
      <alignment horizontal="left" vertical="center"/>
      <protection locked="0"/>
    </xf>
    <xf fontId="1" fillId="2" borderId="1" numFmtId="0" xfId="0" applyFont="1" applyFill="1" applyBorder="1" applyAlignment="1">
      <alignment horizontal="center" vertical="center"/>
      <protection locked="0"/>
    </xf>
    <xf fontId="7" fillId="2" borderId="13" numFmtId="0" xfId="0" applyFont="1" applyFill="1" applyBorder="1" applyAlignment="1">
      <alignment vertical="center"/>
      <protection locked="0"/>
    </xf>
    <xf fontId="8" fillId="2" borderId="13" numFmtId="0" xfId="0" applyFont="1" applyFill="1" applyBorder="1" applyAlignment="1">
      <alignment vertical="center"/>
      <protection locked="0"/>
    </xf>
    <xf fontId="1" fillId="2" borderId="13" numFmtId="0" xfId="0" applyFont="1" applyFill="1" applyBorder="1" applyAlignment="1">
      <alignment vertical="center"/>
      <protection locked="0"/>
    </xf>
    <xf fontId="1" fillId="2" borderId="12" numFmtId="0" xfId="0" applyFont="1" applyFill="1" applyBorder="1" applyAlignment="1">
      <alignment vertical="center" wrapText="1"/>
      <protection locked="0"/>
    </xf>
    <xf fontId="1" fillId="2" borderId="0" numFmtId="0" xfId="0" applyFont="1" applyFill="1" applyAlignment="1">
      <alignment vertical="center" wrapText="1"/>
      <protection hidden="0" locked="1"/>
    </xf>
    <xf fontId="6" fillId="2" borderId="12" numFmtId="14" xfId="0" applyNumberFormat="1" applyFont="1" applyFill="1" applyBorder="1" applyAlignment="1">
      <alignment vertical="center"/>
      <protection locked="0"/>
    </xf>
    <xf fontId="2" fillId="2" borderId="1" numFmtId="14" xfId="0" applyNumberFormat="1" applyFont="1" applyFill="1" applyBorder="1" applyAlignment="1">
      <alignment vertical="center"/>
      <protection locked="0"/>
    </xf>
    <xf fontId="6" fillId="2" borderId="18" numFmtId="164" xfId="0" applyNumberFormat="1" applyFont="1" applyFill="1" applyBorder="1" applyAlignment="1">
      <alignment vertical="center"/>
      <protection locked="0"/>
    </xf>
    <xf fontId="2" fillId="2" borderId="12" numFmtId="0" xfId="0" applyFont="1" applyFill="1" applyBorder="1" applyAlignment="1" quotePrefix="1">
      <alignment horizontal="center" vertical="center"/>
      <protection locked="0"/>
    </xf>
    <xf fontId="9" fillId="0" borderId="19" numFmtId="0" xfId="0" applyFont="1" applyBorder="1" applyAlignment="1">
      <alignment horizontal="left" vertical="center" wrapText="1"/>
    </xf>
    <xf fontId="9" fillId="0" borderId="19" numFmtId="14" xfId="0" applyNumberFormat="1" applyFont="1" applyBorder="1" applyAlignment="1">
      <alignment horizontal="left" vertical="center" wrapText="1"/>
    </xf>
    <xf fontId="10" fillId="0" borderId="19" numFmtId="0" xfId="0" applyFont="1" applyBorder="1" applyAlignment="1">
      <alignment horizontal="left" vertical="center" wrapText="1"/>
    </xf>
    <xf fontId="10" fillId="0" borderId="19" numFmtId="14" xfId="0" applyNumberFormat="1" applyFont="1" applyBorder="1" applyAlignment="1">
      <alignment horizontal="left" vertical="center" wrapText="1"/>
    </xf>
    <xf fontId="0" fillId="0" borderId="19" numFmtId="0" xfId="0" applyBorder="1" applyAlignment="1">
      <alignment horizontal="left" vertical="center" wrapText="1"/>
    </xf>
    <xf fontId="11" fillId="0" borderId="0" numFmtId="0" xfId="0" applyFont="1"/>
    <xf fontId="12" fillId="3" borderId="3" numFmtId="0" xfId="0" applyFont="1" applyFill="1" applyBorder="1"/>
    <xf fontId="12" fillId="3" borderId="4" numFmtId="0" xfId="0" applyFont="1" applyFill="1" applyBorder="1"/>
    <xf fontId="12" fillId="3" borderId="2" numFmtId="0" xfId="0" applyFont="1" applyFill="1" applyBorder="1"/>
    <xf fontId="0" fillId="0" borderId="4" numFmtId="0" xfId="0" applyBorder="1"/>
    <xf fontId="0" fillId="0" borderId="2" numFmtId="0" xfId="0" applyBorder="1"/>
    <xf fontId="12" fillId="3" borderId="7" numFmtId="0" xfId="0" applyFont="1" applyFill="1" applyBorder="1"/>
    <xf fontId="12" fillId="3" borderId="0" numFmtId="0" xfId="0" applyFont="1" applyFill="1"/>
    <xf fontId="12" fillId="3" borderId="6" numFmtId="0" xfId="0" applyFont="1" applyFill="1" applyBorder="1"/>
    <xf fontId="0" fillId="0" borderId="6" numFmtId="0" xfId="0" applyBorder="1"/>
    <xf fontId="12" fillId="3" borderId="10" numFmtId="0" xfId="0" applyFont="1" applyFill="1" applyBorder="1"/>
    <xf fontId="12" fillId="3" borderId="11" numFmtId="0" xfId="0" applyFont="1" applyFill="1" applyBorder="1"/>
    <xf fontId="12" fillId="3" borderId="9" numFmtId="0" xfId="0" applyFont="1" applyFill="1" applyBorder="1"/>
    <xf fontId="0" fillId="0" borderId="11" numFmtId="0" xfId="0" applyBorder="1"/>
    <xf fontId="0" fillId="0" borderId="9" numFmtId="0" xfId="0" applyBorder="1"/>
    <xf fontId="12" fillId="0" borderId="3" numFmtId="0" xfId="0" applyFont="1" applyBorder="1"/>
    <xf fontId="12" fillId="0" borderId="4" numFmtId="0" xfId="0" applyFont="1" applyBorder="1"/>
    <xf fontId="12" fillId="0" borderId="2" numFmtId="0" xfId="0" applyFont="1" applyBorder="1"/>
    <xf fontId="12" fillId="4" borderId="7" numFmtId="0" xfId="0" applyFont="1" applyFill="1" applyBorder="1"/>
    <xf fontId="12" fillId="4" borderId="0" numFmtId="0" xfId="0" applyFont="1" applyFill="1"/>
    <xf fontId="12" fillId="4" borderId="6" numFmtId="0" xfId="0" applyFont="1" applyFill="1" applyBorder="1"/>
    <xf fontId="0" fillId="4" borderId="0" numFmtId="0" xfId="0" applyFill="1"/>
    <xf fontId="0" fillId="4" borderId="6" numFmtId="0" xfId="0" applyFill="1" applyBorder="1"/>
    <xf fontId="12" fillId="0" borderId="7" numFmtId="0" xfId="0" applyFont="1" applyBorder="1"/>
    <xf fontId="12" fillId="0" borderId="0" numFmtId="0" xfId="0" applyFont="1"/>
    <xf fontId="12" fillId="0" borderId="6" numFmtId="0" xfId="0" applyFont="1" applyBorder="1"/>
    <xf fontId="12" fillId="0" borderId="10" numFmtId="0" xfId="0" applyFont="1" applyBorder="1"/>
    <xf fontId="12" fillId="0" borderId="11" numFmtId="0" xfId="0" applyFont="1" applyBorder="1"/>
    <xf fontId="12" fillId="0" borderId="9" numFmtId="0" xfId="0" applyFont="1" applyBorder="1"/>
    <xf fontId="0" fillId="0" borderId="0" numFmtId="0" xfId="0" quotePrefix="1"/>
    <xf fontId="0" fillId="0" borderId="20" numFmtId="0" xfId="0" applyBorder="1"/>
    <xf fontId="12" fillId="3" borderId="21" numFmtId="0" xfId="0" applyFont="1" applyFill="1" applyBorder="1" applyAlignment="1">
      <alignment horizontal="center"/>
    </xf>
    <xf fontId="12" fillId="3" borderId="22" numFmtId="0" xfId="0" applyFont="1" applyFill="1" applyBorder="1" applyAlignment="1">
      <alignment horizontal="center"/>
    </xf>
    <xf fontId="12" fillId="3" borderId="23" numFmtId="0" xfId="0" applyFont="1" applyFill="1" applyBorder="1" applyAlignment="1">
      <alignment horizontal="center"/>
    </xf>
    <xf fontId="0" fillId="0" borderId="0" numFmtId="0" xfId="0"/>
    <xf fontId="0" fillId="0" borderId="24" numFmtId="0" xfId="0" applyBorder="1"/>
    <xf fontId="0" fillId="0" borderId="25" numFmtId="0" xfId="0" applyBorder="1"/>
    <xf fontId="0" fillId="0" borderId="26" numFmtId="0" xfId="0" applyBorder="1"/>
    <xf fontId="0" fillId="0" borderId="24" numFmtId="0" xfId="0" applyBorder="1" applyAlignment="1">
      <alignment horizontal="left" vertical="center" wrapText="1"/>
    </xf>
    <xf fontId="0" fillId="0" borderId="25" numFmtId="0" xfId="0" applyBorder="1" applyAlignment="1">
      <alignment horizontal="left" vertical="center" wrapText="1"/>
    </xf>
    <xf fontId="0" fillId="0" borderId="26" numFmtId="0" xfId="0" applyBorder="1" applyAlignment="1">
      <alignment horizontal="left" vertical="center" wrapText="1"/>
    </xf>
    <xf fontId="0" fillId="0" borderId="25" numFmtId="0" xfId="0" applyBorder="1"/>
    <xf fontId="0" fillId="0" borderId="27" numFmtId="0" xfId="0" applyBorder="1"/>
    <xf fontId="0" fillId="0" borderId="28" numFmtId="0" xfId="0" applyBorder="1"/>
    <xf fontId="0" fillId="0" borderId="27" numFmtId="0" xfId="0" applyBorder="1" applyAlignment="1">
      <alignment horizontal="left" vertical="center" wrapText="1"/>
    </xf>
    <xf fontId="0" fillId="0" borderId="0" numFmtId="0" xfId="0" applyAlignment="1">
      <alignment horizontal="left" vertical="center" wrapText="1"/>
    </xf>
    <xf fontId="0" fillId="0" borderId="28" numFmtId="0" xfId="0" applyBorder="1" applyAlignment="1">
      <alignment horizontal="left" vertical="center" wrapText="1"/>
    </xf>
    <xf fontId="0" fillId="0" borderId="29" numFmtId="0" xfId="0" applyBorder="1"/>
    <xf fontId="0" fillId="0" borderId="30" numFmtId="0" xfId="0" applyBorder="1"/>
    <xf fontId="0" fillId="0" borderId="31" numFmtId="0" xfId="0" applyBorder="1"/>
    <xf fontId="0" fillId="0" borderId="29" numFmtId="0" xfId="0" applyBorder="1" applyAlignment="1">
      <alignment vertical="center" wrapText="1"/>
    </xf>
    <xf fontId="0" fillId="0" borderId="30" numFmtId="0" xfId="0" applyBorder="1" applyAlignment="1">
      <alignment vertical="center" wrapText="1"/>
    </xf>
    <xf fontId="0" fillId="0" borderId="31" numFmtId="0" xfId="0" applyBorder="1" applyAlignment="1">
      <alignment vertical="center" wrapText="1"/>
    </xf>
    <xf fontId="0" fillId="0" borderId="27" numFmtId="0" xfId="0" applyBorder="1"/>
    <xf fontId="0" fillId="0" borderId="32" numFmtId="0" xfId="0" applyBorder="1" applyAlignment="1">
      <alignment horizontal="left" vertical="center" wrapText="1"/>
    </xf>
    <xf fontId="0" fillId="0" borderId="0" numFmtId="0" xfId="0" applyAlignment="1">
      <alignment horizontal="left" vertical="center" wrapText="1"/>
    </xf>
    <xf fontId="0" fillId="0" borderId="33" numFmtId="0" xfId="0" applyBorder="1" applyAlignment="1">
      <alignment horizontal="left" vertical="center" wrapText="1"/>
    </xf>
    <xf fontId="0" fillId="0" borderId="0" numFmtId="0" xfId="0"/>
    <xf fontId="0" fillId="0" borderId="34" numFmtId="0" xfId="0" applyBorder="1" applyAlignment="1">
      <alignment horizontal="left" vertical="center" wrapText="1"/>
    </xf>
    <xf fontId="0" fillId="0" borderId="35" numFmtId="0" xfId="0" applyBorder="1" applyAlignment="1">
      <alignment horizontal="left" vertical="center" wrapText="1"/>
    </xf>
    <xf fontId="0" fillId="0" borderId="36" numFmtId="0" xfId="0" applyBorder="1" applyAlignment="1">
      <alignment horizontal="left" vertical="center" wrapText="1"/>
    </xf>
    <xf fontId="0" fillId="0" borderId="24" numFmtId="0" xfId="0" applyBorder="1"/>
    <xf fontId="0" fillId="0" borderId="37" numFmtId="0" xfId="0" applyBorder="1" applyAlignment="1">
      <alignment horizontal="left" vertical="center" wrapText="1"/>
    </xf>
    <xf fontId="0" fillId="0" borderId="38" numFmtId="0" xfId="0" applyBorder="1" applyAlignment="1">
      <alignment horizontal="left" vertical="center" wrapText="1"/>
    </xf>
    <xf fontId="0" fillId="0" borderId="39" numFmtId="0" xfId="0" applyBorder="1" applyAlignment="1">
      <alignment horizontal="left" vertical="center" wrapText="1"/>
    </xf>
    <xf fontId="0" fillId="0" borderId="27" numFmtId="0" xfId="0" applyBorder="1" applyAlignment="1">
      <alignment vertical="center"/>
    </xf>
    <xf fontId="0" fillId="0" borderId="0" numFmtId="0" xfId="0" applyAlignment="1">
      <alignment vertical="center"/>
    </xf>
    <xf fontId="0" fillId="0" borderId="28" numFmtId="0" xfId="0" applyBorder="1" applyAlignment="1">
      <alignment vertical="center"/>
    </xf>
    <xf fontId="0" fillId="0" borderId="29" numFmtId="0" xfId="0" applyBorder="1" applyAlignment="1">
      <alignment vertical="center"/>
    </xf>
    <xf fontId="0" fillId="0" borderId="30" numFmtId="0" xfId="0" applyBorder="1" applyAlignment="1">
      <alignment vertical="center"/>
    </xf>
    <xf fontId="0" fillId="0" borderId="31" numFmtId="0" xfId="0" applyBorder="1" applyAlignment="1">
      <alignment vertical="center"/>
    </xf>
    <xf fontId="0" fillId="0" borderId="40" numFmtId="0" xfId="0" applyBorder="1" applyAlignment="1">
      <alignment horizontal="left" vertical="top" wrapText="1"/>
    </xf>
    <xf fontId="0" fillId="0" borderId="20" numFmtId="0" xfId="0" applyBorder="1" applyAlignment="1">
      <alignment horizontal="left" vertical="top" wrapText="1"/>
    </xf>
    <xf fontId="0" fillId="0" borderId="41" numFmtId="0" xfId="0" applyBorder="1" applyAlignment="1">
      <alignment horizontal="left" vertical="top" wrapText="1"/>
    </xf>
    <xf fontId="0" fillId="0" borderId="42" numFmtId="0" xfId="0" applyBorder="1" applyAlignment="1">
      <alignment horizontal="left" vertical="top" wrapText="1"/>
    </xf>
    <xf fontId="0" fillId="0" borderId="0" numFmtId="0" xfId="0" applyAlignment="1">
      <alignment horizontal="left" vertical="top" wrapText="1"/>
    </xf>
    <xf fontId="0" fillId="0" borderId="43" numFmtId="0" xfId="0" applyBorder="1" applyAlignment="1">
      <alignment horizontal="left" vertical="top" wrapText="1"/>
    </xf>
    <xf fontId="0" fillId="0" borderId="44" numFmtId="0" xfId="0" applyBorder="1" applyAlignment="1">
      <alignment horizontal="left" vertical="top" wrapText="1"/>
    </xf>
    <xf fontId="0" fillId="0" borderId="45" numFmtId="0" xfId="0" applyBorder="1" applyAlignment="1">
      <alignment horizontal="left" vertical="top" wrapText="1"/>
    </xf>
    <xf fontId="0" fillId="0" borderId="46" numFmtId="0" xfId="0" applyBorder="1" applyAlignment="1">
      <alignment horizontal="left" vertical="top" wrapText="1"/>
    </xf>
    <xf fontId="0" fillId="0" borderId="0" numFmtId="0" xfId="0" applyAlignment="1">
      <alignment vertical="top"/>
    </xf>
    <xf fontId="12" fillId="0" borderId="0" numFmtId="0" xfId="0" applyFont="1"/>
    <xf fontId="0" fillId="0" borderId="0" numFmtId="0" xfId="0" applyAlignment="1">
      <alignment vertical="top"/>
    </xf>
    <xf fontId="0" fillId="0" borderId="0" numFmtId="0" xfId="0">
      <protection hidden="0" locked="1"/>
    </xf>
    <xf fontId="0" fillId="0" borderId="45" numFmtId="0" xfId="0" applyBorder="1">
      <protection hidden="0" locked="1"/>
    </xf>
    <xf fontId="13" fillId="0" borderId="0" numFmtId="0" xfId="0" applyFont="1"/>
    <xf fontId="2" fillId="0" borderId="0" numFmtId="0" xfId="0" applyFont="1">
      <protection hidden="0" locked="1"/>
    </xf>
    <xf fontId="2" fillId="0" borderId="11" numFmtId="0" xfId="0" applyFont="1" applyBorder="1">
      <protection hidden="0" locked="1"/>
    </xf>
    <xf fontId="2" fillId="0" borderId="0" numFmtId="0" xfId="0" applyFont="1"/>
    <xf fontId="3" fillId="2" borderId="0" numFmtId="0" xfId="0" applyFont="1" applyFill="1" applyAlignment="1">
      <alignment vertical="center"/>
    </xf>
    <xf fontId="4" fillId="2" borderId="0" numFmtId="0" xfId="0" applyFont="1" applyFill="1" applyAlignment="1">
      <alignment horizontal="right" vertical="center"/>
    </xf>
    <xf fontId="4" fillId="3" borderId="47" numFmtId="0" xfId="0" applyFont="1" applyFill="1" applyBorder="1" applyAlignment="1">
      <alignment horizontal="right" vertical="center"/>
    </xf>
    <xf fontId="2" fillId="0" borderId="7" numFmtId="0" xfId="0" applyFont="1" applyBorder="1"/>
    <xf fontId="4" fillId="2" borderId="0" numFmtId="0" xfId="0" applyFont="1" applyFill="1" applyAlignment="1">
      <alignment horizontal="left" vertical="center"/>
    </xf>
    <xf fontId="0" fillId="5" borderId="0" numFmtId="0" xfId="0" applyFill="1"/>
    <xf fontId="4" fillId="3" borderId="48" numFmtId="0" xfId="0" applyFont="1" applyFill="1" applyBorder="1" applyAlignment="1">
      <alignment horizontal="right" vertical="center"/>
    </xf>
    <xf fontId="3" fillId="2" borderId="0" numFmtId="0" xfId="0" applyFont="1" applyFill="1" applyAlignment="1">
      <alignment horizontal="left" vertical="center" wrapText="1"/>
      <protection locked="0"/>
    </xf>
    <xf fontId="0" fillId="6" borderId="0" numFmtId="0" xfId="0" applyFill="1"/>
    <xf fontId="4" fillId="3" borderId="49" numFmtId="0" xfId="0" applyFont="1" applyFill="1" applyBorder="1" applyAlignment="1">
      <alignment horizontal="right" vertical="center"/>
    </xf>
    <xf fontId="5" fillId="3" borderId="50" numFmtId="0" xfId="0" applyFont="1" applyFill="1" applyBorder="1" applyAlignment="1">
      <alignment horizontal="left" vertical="center"/>
    </xf>
    <xf fontId="5" fillId="3" borderId="51" numFmtId="0" xfId="0" applyFont="1" applyFill="1" applyBorder="1" applyAlignment="1">
      <alignment horizontal="left" vertical="center"/>
    </xf>
    <xf fontId="6" fillId="3" borderId="52" numFmtId="165" xfId="0" applyNumberFormat="1" applyFont="1" applyFill="1" applyBorder="1" applyAlignment="1">
      <alignment horizontal="center" wrapText="1"/>
    </xf>
    <xf fontId="6" fillId="3" borderId="51" numFmtId="165" xfId="0" applyNumberFormat="1" applyFont="1" applyFill="1" applyBorder="1" applyAlignment="1">
      <alignment horizontal="center" wrapText="1"/>
    </xf>
    <xf fontId="6" fillId="3" borderId="53" numFmtId="165" xfId="0" applyNumberFormat="1" applyFont="1" applyFill="1" applyBorder="1" applyAlignment="1">
      <alignment horizontal="center" wrapText="1"/>
    </xf>
    <xf fontId="14" fillId="3" borderId="51" numFmtId="165" xfId="0" applyNumberFormat="1" applyFont="1" applyFill="1" applyBorder="1" applyAlignment="1">
      <alignment horizontal="center" wrapText="1"/>
    </xf>
    <xf fontId="14" fillId="3" borderId="53" numFmtId="165" xfId="0" applyNumberFormat="1" applyFont="1" applyFill="1" applyBorder="1" applyAlignment="1">
      <alignment horizontal="center" wrapText="1"/>
    </xf>
    <xf fontId="14" fillId="3" borderId="54" numFmtId="165" xfId="0" applyNumberFormat="1" applyFont="1" applyFill="1" applyBorder="1" applyAlignment="1">
      <alignment horizontal="center" wrapText="1"/>
    </xf>
    <xf fontId="14" fillId="3" borderId="55" numFmtId="165" xfId="0" applyNumberFormat="1" applyFont="1" applyFill="1" applyBorder="1" applyAlignment="1">
      <alignment horizontal="center" wrapText="1"/>
    </xf>
    <xf fontId="14" fillId="3" borderId="56" numFmtId="165" xfId="0" applyNumberFormat="1" applyFont="1" applyFill="1" applyBorder="1" applyAlignment="1">
      <alignment horizontal="center" wrapText="1"/>
    </xf>
    <xf fontId="2" fillId="0" borderId="6" numFmtId="0" xfId="0" applyFont="1" applyBorder="1" applyAlignment="1">
      <alignment horizontal="center"/>
      <protection hidden="0" locked="1"/>
    </xf>
    <xf fontId="4" fillId="3" borderId="57" numFmtId="0" xfId="0" applyFont="1" applyFill="1" applyBorder="1" applyAlignment="1">
      <alignment horizontal="center" vertical="center"/>
    </xf>
    <xf fontId="2" fillId="3" borderId="58" numFmtId="166" xfId="0" applyNumberFormat="1" applyFont="1" applyFill="1" applyBorder="1" applyAlignment="1">
      <alignment horizontal="center"/>
    </xf>
    <xf fontId="2" fillId="3" borderId="59" numFmtId="166" xfId="0" applyNumberFormat="1" applyFont="1" applyFill="1" applyBorder="1" applyAlignment="1">
      <alignment horizontal="center"/>
    </xf>
    <xf fontId="2" fillId="3" borderId="60" numFmtId="166" xfId="0" applyNumberFormat="1" applyFont="1" applyFill="1" applyBorder="1" applyAlignment="1">
      <alignment horizontal="center"/>
    </xf>
    <xf fontId="2" fillId="3" borderId="61" numFmtId="166" xfId="0" applyNumberFormat="1" applyFont="1" applyFill="1" applyBorder="1" applyAlignment="1">
      <alignment horizontal="center"/>
    </xf>
    <xf fontId="2" fillId="2" borderId="6" numFmtId="0" xfId="0" applyFont="1" applyFill="1" applyBorder="1">
      <protection hidden="0" locked="1"/>
    </xf>
    <xf fontId="2" fillId="2" borderId="12" numFmtId="164" xfId="0" applyNumberFormat="1" applyFont="1" applyFill="1" applyBorder="1" applyAlignment="1">
      <alignment horizontal="right" vertical="center"/>
      <protection locked="0"/>
    </xf>
    <xf fontId="2" fillId="2" borderId="57" numFmtId="164" xfId="0" applyNumberFormat="1" applyFont="1" applyFill="1" applyBorder="1" applyAlignment="1">
      <alignment vertical="center"/>
      <protection locked="0"/>
    </xf>
    <xf fontId="2" fillId="2" borderId="58" numFmtId="0" xfId="0" applyFont="1" applyFill="1" applyBorder="1"/>
    <xf fontId="2" fillId="2" borderId="59" numFmtId="0" xfId="0" applyFont="1" applyFill="1" applyBorder="1"/>
    <xf fontId="0" fillId="0" borderId="59" numFmtId="0" xfId="0" applyBorder="1"/>
    <xf fontId="0" fillId="6" borderId="59" numFmtId="0" xfId="0" applyFill="1" applyBorder="1"/>
    <xf fontId="0" fillId="0" borderId="60" numFmtId="0" xfId="0" applyBorder="1"/>
    <xf fontId="0" fillId="0" borderId="61" numFmtId="0" xfId="0" applyBorder="1"/>
    <xf fontId="0" fillId="5" borderId="59" numFmtId="0" xfId="0" applyFill="1" applyBorder="1"/>
    <xf fontId="0" fillId="5" borderId="60" numFmtId="0" xfId="0" applyFill="1" applyBorder="1"/>
    <xf fontId="0" fillId="5" borderId="61" numFmtId="0" xfId="0" applyFill="1" applyBorder="1"/>
    <xf fontId="0" fillId="6" borderId="60" numFmtId="0" xfId="0" applyFill="1" applyBorder="1"/>
    <xf fontId="2" fillId="2" borderId="57" numFmtId="164" xfId="0" applyNumberFormat="1" applyFont="1" applyFill="1" applyBorder="1" applyAlignment="1">
      <alignment horizontal="right" vertical="center"/>
      <protection locked="0"/>
    </xf>
    <xf fontId="2" fillId="7" borderId="58" numFmtId="0" xfId="0" applyFont="1" applyFill="1" applyBorder="1"/>
    <xf fontId="2" fillId="7" borderId="59" numFmtId="0" xfId="0" applyFont="1" applyFill="1" applyBorder="1"/>
    <xf fontId="0" fillId="7" borderId="59" numFmtId="0" xfId="0" applyFill="1" applyBorder="1"/>
    <xf fontId="0" fillId="7" borderId="60" numFmtId="0" xfId="0" applyFill="1" applyBorder="1"/>
    <xf fontId="0" fillId="7" borderId="61" numFmtId="0" xfId="0" applyFill="1" applyBorder="1"/>
    <xf fontId="0" fillId="8" borderId="59" numFmtId="0" xfId="0" applyFill="1" applyBorder="1"/>
    <xf fontId="0" fillId="8" borderId="61" numFmtId="0" xfId="0" applyFill="1" applyBorder="1"/>
    <xf fontId="2" fillId="2" borderId="59" numFmtId="0" xfId="0" applyFont="1" applyFill="1" applyBorder="1" applyAlignment="1">
      <alignment vertical="center" wrapText="1"/>
      <protection locked="0"/>
    </xf>
    <xf fontId="2" fillId="2" borderId="12" numFmtId="0" xfId="0" applyFont="1" applyFill="1" applyBorder="1">
      <protection locked="0"/>
    </xf>
    <xf fontId="2" fillId="2" borderId="12" numFmtId="164" xfId="0" applyNumberFormat="1" applyFont="1" applyFill="1" applyBorder="1">
      <protection locked="0"/>
    </xf>
    <xf fontId="2" fillId="2" borderId="57" numFmtId="164" xfId="0" applyNumberFormat="1" applyFont="1" applyFill="1" applyBorder="1">
      <protection locked="0"/>
    </xf>
    <xf fontId="6" fillId="2" borderId="12" numFmtId="0" xfId="0" applyFont="1" applyFill="1" applyBorder="1">
      <protection locked="0"/>
    </xf>
    <xf fontId="4" fillId="2" borderId="12" numFmtId="0" xfId="0" applyFont="1" applyFill="1" applyBorder="1">
      <protection locked="0"/>
    </xf>
    <xf fontId="2" fillId="2" borderId="61" numFmtId="0" xfId="0" applyFont="1" applyFill="1" applyBorder="1"/>
    <xf fontId="2" fillId="2" borderId="12" numFmtId="0" xfId="0" applyFont="1" applyFill="1" applyBorder="1" applyAlignment="1">
      <alignment horizontal="center"/>
      <protection locked="0"/>
    </xf>
    <xf fontId="2" fillId="2" borderId="0" numFmtId="0" xfId="0" applyFont="1" applyFill="1"/>
    <xf fontId="12" fillId="3" borderId="62" numFmtId="0" xfId="0" applyFont="1" applyFill="1" applyBorder="1" applyAlignment="1">
      <alignment horizontal="center"/>
    </xf>
    <xf fontId="12" fillId="3" borderId="63" numFmtId="0" xfId="0" applyFont="1" applyFill="1" applyBorder="1" applyAlignment="1">
      <alignment horizontal="center"/>
    </xf>
    <xf fontId="12" fillId="3" borderId="64" numFmtId="0" xfId="0" applyFont="1" applyFill="1" applyBorder="1" applyAlignment="1">
      <alignment horizontal="center"/>
    </xf>
    <xf fontId="12" fillId="3" borderId="65" numFmtId="0" xfId="0" applyFont="1" applyFill="1" applyBorder="1" applyAlignment="1">
      <alignment horizontal="center"/>
    </xf>
    <xf fontId="12" fillId="3" borderId="3" numFmtId="0" xfId="0" applyFont="1" applyFill="1" applyBorder="1" applyAlignment="1">
      <alignment horizontal="center"/>
    </xf>
    <xf fontId="12" fillId="3" borderId="4" numFmtId="0" xfId="0" applyFont="1" applyFill="1" applyBorder="1" applyAlignment="1">
      <alignment horizontal="center"/>
    </xf>
    <xf fontId="12" fillId="3" borderId="2" numFmtId="0" xfId="0" applyFont="1" applyFill="1" applyBorder="1" applyAlignment="1">
      <alignment horizontal="center"/>
    </xf>
    <xf fontId="0" fillId="0" borderId="66" numFmtId="0" xfId="0" applyBorder="1" applyAlignment="1">
      <alignment horizontal="center"/>
    </xf>
    <xf fontId="0" fillId="0" borderId="16" numFmtId="0" xfId="0" applyBorder="1" applyAlignment="1">
      <alignment horizontal="center"/>
    </xf>
    <xf fontId="0" fillId="0" borderId="67" numFmtId="0" xfId="0" applyBorder="1"/>
    <xf fontId="0" fillId="0" borderId="68" numFmtId="0" xfId="0" applyBorder="1" applyAlignment="1">
      <alignment horizontal="center"/>
    </xf>
    <xf fontId="0" fillId="0" borderId="66" numFmtId="0" xfId="0" applyBorder="1" applyAlignment="1">
      <alignment horizontal="center"/>
    </xf>
    <xf fontId="0" fillId="0" borderId="68" numFmtId="0" xfId="0" applyBorder="1" applyAlignment="1">
      <alignment horizontal="center"/>
    </xf>
    <xf fontId="0" fillId="0" borderId="16" numFmtId="0" xfId="0" applyBorder="1" applyAlignment="1">
      <alignment horizontal="center"/>
    </xf>
    <xf fontId="0" fillId="0" borderId="69" numFmtId="0" xfId="0" applyBorder="1" applyAlignment="1">
      <alignment horizontal="center"/>
    </xf>
    <xf fontId="0" fillId="0" borderId="57" numFmtId="0" xfId="0" applyBorder="1"/>
    <xf fontId="0" fillId="0" borderId="70" numFmtId="0" xfId="0" applyBorder="1"/>
    <xf fontId="0" fillId="0" borderId="57" numFmtId="0" xfId="0" applyBorder="1"/>
    <xf fontId="0" fillId="0" borderId="71" numFmtId="0" xfId="0" applyBorder="1" applyAlignment="1">
      <alignment horizontal="center"/>
    </xf>
    <xf fontId="0" fillId="0" borderId="72" numFmtId="0" xfId="0" applyBorder="1" applyAlignment="1">
      <alignment horizontal="center"/>
    </xf>
    <xf fontId="0" fillId="0" borderId="73" numFmtId="0" xfId="0" applyBorder="1" applyAlignment="1">
      <alignment horizontal="center"/>
    </xf>
    <xf fontId="0" fillId="0" borderId="74" numFmtId="0" xfId="0" applyBorder="1" applyAlignment="1">
      <alignment horizontal="left" vertical="top" wrapText="1"/>
    </xf>
    <xf fontId="0" fillId="0" borderId="75" numFmtId="0" xfId="0" applyBorder="1" applyAlignment="1">
      <alignment horizontal="left" vertical="top" wrapText="1"/>
    </xf>
    <xf fontId="0" fillId="0" borderId="76" numFmtId="0" xfId="0" applyBorder="1" applyAlignment="1">
      <alignment horizontal="left" vertical="top" wrapText="1"/>
    </xf>
    <xf fontId="0" fillId="0" borderId="77" numFmtId="0" xfId="0" applyBorder="1" applyAlignment="1">
      <alignment horizontal="left" vertical="top" wrapText="1"/>
    </xf>
    <xf fontId="0" fillId="0" borderId="78" numFmtId="0" xfId="0" applyBorder="1" applyAlignment="1">
      <alignment horizontal="left" vertical="top" wrapText="1"/>
    </xf>
    <xf fontId="0" fillId="0" borderId="79" numFmtId="0" xfId="0" applyBorder="1" applyAlignment="1">
      <alignment horizontal="left" vertical="top" wrapText="1"/>
    </xf>
    <xf fontId="0" fillId="0" borderId="80" numFmtId="0" xfId="0" applyBorder="1" applyAlignment="1">
      <alignment horizontal="left" vertical="top" wrapText="1"/>
    </xf>
    <xf fontId="0" fillId="0" borderId="0" numFmtId="0" xfId="0" applyAlignment="1">
      <alignment horizontal="left" vertical="top" wrapText="1"/>
    </xf>
    <xf fontId="0" fillId="0" borderId="81" numFmtId="0" xfId="0" applyBorder="1" applyAlignment="1">
      <alignment horizontal="left" vertical="top" wrapText="1"/>
    </xf>
    <xf fontId="0" fillId="0" borderId="82" numFmtId="0" xfId="0" applyBorder="1" applyAlignment="1">
      <alignment horizontal="left" vertical="top" wrapText="1"/>
    </xf>
    <xf fontId="0" fillId="0" borderId="83" numFmtId="0" xfId="0" applyBorder="1" applyAlignment="1">
      <alignment horizontal="left" vertical="top" wrapText="1"/>
    </xf>
    <xf fontId="0" fillId="0" borderId="84" numFmtId="0" xfId="0" applyBorder="1" applyAlignment="1">
      <alignment horizontal="left" vertical="top" wrapText="1"/>
    </xf>
    <xf fontId="0" fillId="0" borderId="85" numFmtId="0" xfId="0" applyBorder="1" applyAlignment="1">
      <alignment horizontal="left" vertical="top" wrapText="1"/>
    </xf>
    <xf fontId="0" fillId="0" borderId="86" numFmtId="0" xfId="0" applyBorder="1" applyAlignment="1">
      <alignment horizontal="left" vertical="top" wrapText="1"/>
    </xf>
    <xf fontId="0" fillId="0" borderId="87" numFmtId="0" xfId="0" applyBorder="1" applyAlignment="1">
      <alignment horizontal="left" vertical="top" wrapText="1"/>
    </xf>
    <xf fontId="0" fillId="0" borderId="88" numFmtId="0" xfId="0" applyBorder="1" applyAlignment="1">
      <alignment horizontal="left" vertical="top" wrapText="1"/>
    </xf>
    <xf fontId="0" fillId="0" borderId="89" numFmtId="0" xfId="0" applyBorder="1" applyAlignment="1">
      <alignment horizontal="left" vertical="top" wrapText="1"/>
    </xf>
    <xf fontId="0" fillId="0" borderId="0" numFmtId="0" xfId="0" applyAlignment="1">
      <alignment vertical="center"/>
    </xf>
    <xf fontId="12" fillId="3" borderId="3" numFmtId="0" xfId="0" applyFont="1" applyFill="1" applyBorder="1" applyAlignment="1">
      <alignment vertical="center"/>
    </xf>
    <xf fontId="12" fillId="3" borderId="4" numFmtId="0" xfId="0" applyFont="1" applyFill="1" applyBorder="1" applyAlignment="1">
      <alignment vertical="center"/>
    </xf>
    <xf fontId="12" fillId="3" borderId="2" numFmtId="0" xfId="0" applyFont="1" applyFill="1" applyBorder="1" applyAlignment="1">
      <alignment vertical="center"/>
    </xf>
    <xf fontId="0" fillId="0" borderId="4" numFmtId="0" xfId="0" applyBorder="1" applyAlignment="1">
      <alignment vertical="center"/>
    </xf>
    <xf fontId="0" fillId="0" borderId="2" numFmtId="0" xfId="0" applyBorder="1" applyAlignment="1">
      <alignment vertical="center"/>
    </xf>
    <xf fontId="12" fillId="3" borderId="7" numFmtId="0" xfId="0" applyFont="1" applyFill="1" applyBorder="1" applyAlignment="1">
      <alignment vertical="center"/>
    </xf>
    <xf fontId="12" fillId="3" borderId="0" numFmtId="0" xfId="0" applyFont="1" applyFill="1" applyAlignment="1">
      <alignment vertical="center"/>
    </xf>
    <xf fontId="12" fillId="3" borderId="6" numFmtId="0" xfId="0" applyFont="1" applyFill="1" applyBorder="1" applyAlignment="1">
      <alignment vertical="center"/>
    </xf>
    <xf fontId="0" fillId="0" borderId="6" numFmtId="0" xfId="0" applyBorder="1" applyAlignment="1">
      <alignment vertical="center"/>
    </xf>
    <xf fontId="12" fillId="3" borderId="10" numFmtId="0" xfId="0" applyFont="1" applyFill="1" applyBorder="1" applyAlignment="1">
      <alignment vertical="center"/>
    </xf>
    <xf fontId="12" fillId="3" borderId="11" numFmtId="0" xfId="0" applyFont="1" applyFill="1" applyBorder="1" applyAlignment="1">
      <alignment vertical="center"/>
    </xf>
    <xf fontId="12" fillId="3" borderId="9" numFmtId="0" xfId="0" applyFont="1" applyFill="1" applyBorder="1" applyAlignment="1">
      <alignment vertical="center"/>
    </xf>
    <xf fontId="0" fillId="0" borderId="11" numFmtId="0" xfId="0" applyBorder="1" applyAlignment="1">
      <alignment vertical="center"/>
    </xf>
    <xf fontId="0" fillId="0" borderId="9" numFmtId="0" xfId="0" applyBorder="1" applyAlignment="1">
      <alignment vertical="center"/>
    </xf>
    <xf fontId="13" fillId="0" borderId="0" numFmtId="0" xfId="0" applyFont="1" applyAlignment="1">
      <alignment vertical="center"/>
    </xf>
    <xf fontId="12" fillId="3" borderId="57" numFmtId="0" xfId="0" applyFont="1" applyFill="1" applyBorder="1" applyAlignment="1">
      <alignment vertical="center"/>
    </xf>
    <xf fontId="12" fillId="3" borderId="67" numFmtId="0" xfId="0" applyFont="1" applyFill="1" applyBorder="1" applyAlignment="1">
      <alignment vertical="center"/>
    </xf>
    <xf fontId="12" fillId="3" borderId="70" numFmtId="0" xfId="0" applyFont="1" applyFill="1" applyBorder="1" applyAlignment="1">
      <alignment vertical="center"/>
    </xf>
    <xf fontId="0" fillId="0" borderId="67" numFmtId="0" xfId="0" applyBorder="1" applyAlignment="1">
      <alignment vertical="center"/>
    </xf>
    <xf fontId="0" fillId="0" borderId="67" numFmtId="0" xfId="0" applyBorder="1" applyAlignment="1">
      <alignment vertical="center" wrapText="1"/>
    </xf>
    <xf fontId="0" fillId="0" borderId="70" numFmtId="0" xfId="0" applyBorder="1" applyAlignment="1">
      <alignment vertical="center" wrapText="1"/>
    </xf>
    <xf fontId="0" fillId="0" borderId="57" numFmtId="0" xfId="0" applyBorder="1" applyAlignment="1">
      <alignment vertical="center"/>
    </xf>
    <xf fontId="0" fillId="0" borderId="70" numFmtId="0" xfId="0" applyBorder="1" applyAlignment="1">
      <alignment vertical="center"/>
    </xf>
    <xf fontId="0" fillId="2" borderId="0" numFmtId="0" xfId="0" applyFill="1" applyAlignment="1">
      <alignment vertical="center"/>
    </xf>
    <xf fontId="12" fillId="2" borderId="0" numFmtId="0" xfId="0" applyFont="1" applyFill="1" applyAlignment="1">
      <alignment vertical="center"/>
    </xf>
    <xf fontId="0" fillId="0" borderId="0" numFmtId="0" xfId="0" applyAlignment="1">
      <alignment vertical="center" wrapText="1"/>
    </xf>
    <xf fontId="0" fillId="0" borderId="0" numFmtId="0" xfId="0" applyAlignment="1" quotePrefix="1">
      <alignment vertical="center"/>
    </xf>
    <xf fontId="0" fillId="0" borderId="0" numFmtId="0" xfId="0" applyAlignment="1">
      <alignment vertical="center"/>
    </xf>
    <xf fontId="0" fillId="2" borderId="0" numFmtId="0" xfId="0" applyFill="1" applyAlignment="1">
      <alignment vertical="center"/>
    </xf>
    <xf fontId="12" fillId="2" borderId="0" numFmtId="0" xfId="0" applyFont="1" applyFill="1" applyAlignment="1">
      <alignment vertical="center"/>
    </xf>
    <xf fontId="0" fillId="0" borderId="0" numFmtId="0" xfId="0" applyAlignment="1">
      <alignment vertical="center" wrapText="1"/>
    </xf>
    <xf fontId="0" fillId="2" borderId="0" numFmtId="0" xfId="0" applyFill="1" applyAlignment="1">
      <alignment vertical="center"/>
    </xf>
    <xf fontId="0" fillId="0" borderId="90" numFmtId="0" xfId="0" applyBorder="1" applyAlignment="1">
      <alignment horizontal="left" vertical="top" wrapText="1"/>
    </xf>
    <xf fontId="0" fillId="0" borderId="91" numFmtId="0" xfId="0" applyBorder="1" applyAlignment="1">
      <alignment horizontal="left" vertical="top" wrapText="1"/>
    </xf>
    <xf fontId="0" fillId="0" borderId="92" numFmtId="0" xfId="0" applyBorder="1" applyAlignment="1">
      <alignment horizontal="left" vertical="top" wrapText="1"/>
    </xf>
    <xf fontId="0" fillId="0" borderId="0" numFmtId="0" xfId="0" applyAlignment="1">
      <alignment vertical="top"/>
    </xf>
    <xf fontId="0" fillId="0" borderId="0" numFmtId="0" xfId="0" applyAlignment="1">
      <alignment vertical="top"/>
    </xf>
    <xf fontId="0" fillId="0" borderId="93" numFmtId="0" xfId="0" applyBorder="1" applyAlignment="1">
      <alignment horizontal="left" vertical="top" wrapText="1"/>
    </xf>
    <xf fontId="0" fillId="0" borderId="94" numFmtId="0" xfId="0" applyBorder="1" applyAlignment="1">
      <alignment horizontal="left" vertical="top" wrapText="1"/>
    </xf>
    <xf fontId="0" fillId="0" borderId="95" numFmtId="0" xfId="0" applyBorder="1" applyAlignment="1">
      <alignment horizontal="left" vertical="top" wrapText="1"/>
    </xf>
    <xf fontId="0" fillId="0" borderId="96" numFmtId="0" xfId="0" applyBorder="1" applyAlignment="1">
      <alignment horizontal="left" vertical="top" wrapText="1"/>
    </xf>
    <xf fontId="0" fillId="0" borderId="97" numFmtId="0" xfId="0" applyBorder="1" applyAlignment="1">
      <alignment horizontal="left" vertical="top" wrapText="1"/>
    </xf>
    <xf fontId="0" fillId="0" borderId="0" numFmtId="0" xfId="0" applyAlignment="1">
      <alignment vertical="center"/>
    </xf>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9" zoomScale="100" workbookViewId="0">
      <selection activeCell="A1" activeCellId="0" sqref="A1"/>
    </sheetView>
  </sheetViews>
  <sheetFormatPr defaultRowHeight="14.25"/>
  <cols>
    <col customWidth="1" min="1" max="1" style="1" width="3.00390625"/>
    <col customWidth="1" min="2" max="2" style="1" width="13.00390625"/>
    <col customWidth="1" min="3" max="3" style="1" width="43.57421875"/>
    <col customWidth="1" min="4" max="5" style="1" width="31.7109375"/>
    <col customWidth="1" min="6" max="6" style="1" width="37.00390625"/>
    <col customWidth="1" min="7" max="7" style="1" width="21.57421875"/>
    <col customWidth="1" min="8" max="10" style="1" width="17.7109375"/>
    <col customWidth="1" min="11" max="11" style="1" width="60.00390625"/>
    <col customWidth="1" min="12" max="12" style="1" width="3.7109375"/>
    <col customWidth="1" min="13" max="13" style="1" width="3.140625"/>
    <col customWidth="1" min="14" max="14" style="1" width="3.140625"/>
    <col customWidth="1" min="15" max="15" style="1" width="3.57421875"/>
    <col customWidth="1" min="16" max="16" style="1" width="3.140625"/>
    <col customWidth="1" min="17" max="16384" style="1" width="3.140625"/>
  </cols>
  <sheetData>
    <row r="1" ht="14.25">
      <c r="A1" s="2"/>
      <c r="B1" s="2"/>
      <c r="C1" s="2"/>
      <c r="D1" s="2"/>
      <c r="E1" s="2"/>
      <c r="F1" s="2"/>
      <c r="G1" s="2"/>
      <c r="H1" s="2"/>
      <c r="I1" s="2"/>
      <c r="J1" s="2"/>
      <c r="K1" s="2"/>
      <c r="L1" s="2"/>
    </row>
    <row r="2" ht="15">
      <c r="A2" s="2"/>
      <c r="B2" s="3"/>
      <c r="C2" s="4" t="s">
        <v>0</v>
      </c>
      <c r="D2" s="5" t="s">
        <v>1</v>
      </c>
      <c r="E2" s="6"/>
      <c r="F2" s="4" t="s">
        <v>2</v>
      </c>
      <c r="G2" s="7">
        <v>46083</v>
      </c>
      <c r="I2" s="8" t="s">
        <v>3</v>
      </c>
      <c r="J2" s="9"/>
      <c r="K2" s="10"/>
      <c r="L2" s="2"/>
    </row>
    <row r="3" ht="15">
      <c r="A3" s="2"/>
      <c r="B3" s="3"/>
      <c r="C3" s="11" t="s">
        <v>4</v>
      </c>
      <c r="D3" s="12" t="s">
        <v>5</v>
      </c>
      <c r="E3" s="6"/>
      <c r="F3" s="11" t="s">
        <v>6</v>
      </c>
      <c r="G3" s="13">
        <v>46178</v>
      </c>
      <c r="I3" s="14" t="s">
        <v>7</v>
      </c>
      <c r="J3" s="15"/>
      <c r="K3" s="16"/>
      <c r="L3" s="2"/>
    </row>
    <row r="4" ht="15">
      <c r="A4" s="2"/>
      <c r="B4" s="3"/>
      <c r="C4" s="11" t="s">
        <v>8</v>
      </c>
      <c r="D4" s="12" t="s">
        <v>9</v>
      </c>
      <c r="E4" s="6"/>
      <c r="F4" s="11" t="s">
        <v>10</v>
      </c>
      <c r="G4" s="13">
        <v>46083</v>
      </c>
      <c r="I4" s="17"/>
      <c r="J4" s="18"/>
      <c r="K4" s="19"/>
      <c r="L4" s="2"/>
    </row>
    <row r="5" ht="15">
      <c r="A5" s="2"/>
      <c r="B5" s="3"/>
      <c r="C5" s="20" t="s">
        <v>11</v>
      </c>
      <c r="D5" s="21" t="s">
        <v>12</v>
      </c>
      <c r="E5" s="6"/>
      <c r="F5" s="11" t="s">
        <v>13</v>
      </c>
      <c r="G5" s="13" t="s">
        <v>14</v>
      </c>
      <c r="I5" s="17"/>
      <c r="J5" s="18"/>
      <c r="K5" s="19"/>
      <c r="L5" s="2"/>
      <c r="P5" s="1"/>
    </row>
    <row r="6" ht="15">
      <c r="A6" s="2"/>
      <c r="B6" s="3"/>
      <c r="C6" s="22"/>
      <c r="D6" s="23"/>
      <c r="E6" s="6"/>
      <c r="F6" s="20" t="s">
        <v>15</v>
      </c>
      <c r="G6" s="24">
        <f ca="1">TODAY()</f>
        <v>46154</v>
      </c>
      <c r="I6" s="25"/>
      <c r="J6" s="26"/>
      <c r="K6" s="27"/>
      <c r="L6" s="2"/>
      <c r="P6" s="1"/>
    </row>
    <row r="7" ht="14.25">
      <c r="A7" s="2"/>
      <c r="B7" s="28"/>
      <c r="C7" s="28"/>
      <c r="D7" s="28"/>
      <c r="E7" s="28"/>
      <c r="F7" s="29"/>
      <c r="G7" s="29"/>
      <c r="H7" s="30"/>
      <c r="I7" s="30"/>
      <c r="J7" s="30"/>
      <c r="K7" s="30"/>
      <c r="L7" s="2"/>
      <c r="P7" s="1"/>
    </row>
    <row r="8" ht="17.25">
      <c r="A8" s="2"/>
      <c r="B8" s="31" t="s">
        <v>16</v>
      </c>
      <c r="C8" s="31"/>
      <c r="D8" s="31"/>
      <c r="E8" s="31"/>
      <c r="F8" s="31"/>
      <c r="G8" s="31"/>
      <c r="H8" s="31"/>
      <c r="I8" s="31"/>
      <c r="J8" s="31"/>
      <c r="K8" s="31"/>
      <c r="L8" s="2"/>
      <c r="P8" s="1"/>
    </row>
    <row r="9" ht="17.25">
      <c r="A9" s="30"/>
      <c r="B9" s="32"/>
      <c r="C9" s="32"/>
      <c r="D9" s="32"/>
      <c r="E9" s="32"/>
      <c r="F9" s="32"/>
      <c r="G9" s="32"/>
      <c r="H9" s="32"/>
      <c r="I9" s="32"/>
      <c r="J9" s="32"/>
      <c r="K9" s="32"/>
      <c r="L9" s="30"/>
      <c r="P9" s="1"/>
    </row>
    <row r="10" s="33" customFormat="1" ht="15">
      <c r="A10" s="34"/>
      <c r="B10" s="35" t="s">
        <v>17</v>
      </c>
      <c r="C10" s="35" t="s">
        <v>18</v>
      </c>
      <c r="D10" s="35" t="s">
        <v>19</v>
      </c>
      <c r="E10" s="35" t="s">
        <v>20</v>
      </c>
      <c r="F10" s="35" t="s">
        <v>21</v>
      </c>
      <c r="G10" s="35" t="s">
        <v>22</v>
      </c>
      <c r="H10" s="35" t="s">
        <v>23</v>
      </c>
      <c r="I10" s="35" t="s">
        <v>24</v>
      </c>
      <c r="J10" s="35" t="s">
        <v>25</v>
      </c>
      <c r="K10" s="35" t="s">
        <v>26</v>
      </c>
      <c r="L10" s="34"/>
      <c r="M10" s="33"/>
    </row>
    <row r="11" s="36" customFormat="1" ht="15">
      <c r="A11" s="37"/>
      <c r="B11" s="38" t="s">
        <v>27</v>
      </c>
      <c r="C11" s="39" t="s">
        <v>28</v>
      </c>
      <c r="D11" s="40" t="s">
        <v>29</v>
      </c>
      <c r="E11" s="40" t="s">
        <v>30</v>
      </c>
      <c r="F11" s="41" t="s">
        <v>29</v>
      </c>
      <c r="G11" s="41" t="s">
        <v>29</v>
      </c>
      <c r="H11" s="42">
        <v>46083</v>
      </c>
      <c r="I11" s="43">
        <v>46176</v>
      </c>
      <c r="J11" s="44"/>
      <c r="K11" s="44"/>
      <c r="L11" s="37"/>
      <c r="M11" s="36"/>
    </row>
    <row r="12" s="36" customFormat="1" ht="14.25">
      <c r="A12" s="37"/>
      <c r="B12" s="45" t="s">
        <v>31</v>
      </c>
      <c r="C12" s="46" t="s">
        <v>32</v>
      </c>
      <c r="D12" s="41" t="s">
        <v>30</v>
      </c>
      <c r="E12" s="41" t="s">
        <v>30</v>
      </c>
      <c r="F12" s="41" t="s">
        <v>29</v>
      </c>
      <c r="G12" s="47" t="s">
        <v>33</v>
      </c>
      <c r="H12" s="42">
        <v>46083</v>
      </c>
      <c r="I12" s="43">
        <v>46087</v>
      </c>
      <c r="J12" s="48"/>
      <c r="K12" s="48"/>
      <c r="L12" s="37"/>
      <c r="M12" s="36"/>
    </row>
    <row r="13" s="36" customFormat="1" ht="14.25">
      <c r="A13" s="37"/>
      <c r="B13" s="45" t="s">
        <v>34</v>
      </c>
      <c r="C13" s="46" t="s">
        <v>35</v>
      </c>
      <c r="D13" s="41" t="s">
        <v>30</v>
      </c>
      <c r="E13" s="41" t="s">
        <v>30</v>
      </c>
      <c r="F13" s="41">
        <v>1.1000000000000001</v>
      </c>
      <c r="G13" s="47" t="s">
        <v>36</v>
      </c>
      <c r="H13" s="43">
        <v>46087</v>
      </c>
      <c r="I13" s="42">
        <v>46178</v>
      </c>
      <c r="J13" s="48"/>
      <c r="K13" s="48"/>
      <c r="L13" s="37"/>
      <c r="M13" s="36"/>
    </row>
    <row r="14" s="36" customFormat="1" ht="14.25">
      <c r="A14" s="37"/>
      <c r="B14" s="49" t="s">
        <v>37</v>
      </c>
      <c r="C14" s="50" t="s">
        <v>38</v>
      </c>
      <c r="D14" s="51" t="s">
        <v>30</v>
      </c>
      <c r="E14" s="51" t="s">
        <v>30</v>
      </c>
      <c r="F14" s="51">
        <v>7.2999999999999998</v>
      </c>
      <c r="G14" s="52" t="s">
        <v>39</v>
      </c>
      <c r="H14" s="53">
        <v>46177</v>
      </c>
      <c r="I14" s="53">
        <v>46178</v>
      </c>
      <c r="J14" s="54"/>
      <c r="K14" s="54"/>
      <c r="L14" s="37"/>
      <c r="M14" s="36"/>
    </row>
    <row r="15" s="36" customFormat="1" ht="15">
      <c r="A15" s="37"/>
      <c r="B15" s="55" t="s">
        <v>40</v>
      </c>
      <c r="C15" s="56" t="s">
        <v>41</v>
      </c>
      <c r="D15" s="57" t="s">
        <v>29</v>
      </c>
      <c r="E15" s="57" t="s">
        <v>30</v>
      </c>
      <c r="F15" s="57">
        <v>1.1000000000000001</v>
      </c>
      <c r="G15" s="58" t="s">
        <v>42</v>
      </c>
      <c r="H15" s="59">
        <v>46083</v>
      </c>
      <c r="I15" s="59">
        <v>46101</v>
      </c>
      <c r="J15" s="60"/>
      <c r="K15" s="60"/>
      <c r="L15" s="37"/>
      <c r="M15" s="36"/>
    </row>
    <row r="16" s="36" customFormat="1" ht="14.25">
      <c r="A16" s="37"/>
      <c r="B16" s="45" t="s">
        <v>43</v>
      </c>
      <c r="C16" s="46" t="s">
        <v>44</v>
      </c>
      <c r="D16" s="41" t="s">
        <v>45</v>
      </c>
      <c r="E16" s="41" t="s">
        <v>30</v>
      </c>
      <c r="F16" s="41" t="s">
        <v>29</v>
      </c>
      <c r="G16" s="47" t="s">
        <v>46</v>
      </c>
      <c r="H16" s="42">
        <v>46083</v>
      </c>
      <c r="I16" s="42">
        <v>46091</v>
      </c>
      <c r="J16" s="48"/>
      <c r="K16" s="48"/>
      <c r="L16" s="37"/>
      <c r="M16" s="36"/>
    </row>
    <row r="17" s="36" customFormat="1" ht="14.25">
      <c r="A17" s="37"/>
      <c r="B17" s="61" t="s">
        <v>47</v>
      </c>
      <c r="C17" s="62" t="s">
        <v>48</v>
      </c>
      <c r="D17" s="41" t="s">
        <v>45</v>
      </c>
      <c r="E17" s="41" t="s">
        <v>30</v>
      </c>
      <c r="F17" s="41" t="s">
        <v>29</v>
      </c>
      <c r="G17" s="48" t="s">
        <v>49</v>
      </c>
      <c r="H17" s="63">
        <v>46083</v>
      </c>
      <c r="I17" s="63">
        <v>46091</v>
      </c>
      <c r="J17" s="48"/>
      <c r="K17" s="48"/>
      <c r="L17" s="37"/>
      <c r="M17" s="36"/>
    </row>
    <row r="18" s="36" customFormat="1" ht="14.25">
      <c r="A18" s="37"/>
      <c r="B18" s="61" t="s">
        <v>50</v>
      </c>
      <c r="C18" s="62" t="s">
        <v>51</v>
      </c>
      <c r="D18" s="41" t="s">
        <v>45</v>
      </c>
      <c r="E18" s="41" t="s">
        <v>30</v>
      </c>
      <c r="F18" s="41" t="s">
        <v>47</v>
      </c>
      <c r="G18" s="48" t="s">
        <v>52</v>
      </c>
      <c r="H18" s="63">
        <v>46092</v>
      </c>
      <c r="I18" s="63">
        <v>46094</v>
      </c>
      <c r="J18" s="48"/>
      <c r="K18" s="48"/>
      <c r="L18" s="37"/>
      <c r="M18" s="36"/>
    </row>
    <row r="19" s="36" customFormat="1" ht="14.25">
      <c r="A19" s="37"/>
      <c r="B19" s="45" t="s">
        <v>53</v>
      </c>
      <c r="C19" s="46" t="s">
        <v>54</v>
      </c>
      <c r="D19" s="41" t="s">
        <v>55</v>
      </c>
      <c r="E19" s="41" t="s">
        <v>30</v>
      </c>
      <c r="F19" s="41" t="s">
        <v>47</v>
      </c>
      <c r="G19" s="47" t="s">
        <v>52</v>
      </c>
      <c r="H19" s="42">
        <v>46092</v>
      </c>
      <c r="I19" s="42">
        <v>46094</v>
      </c>
      <c r="J19" s="48"/>
      <c r="K19" s="48"/>
      <c r="L19" s="37"/>
      <c r="M19" s="36"/>
    </row>
    <row r="20" s="36" customFormat="1" ht="14.25">
      <c r="A20" s="37"/>
      <c r="B20" s="45" t="s">
        <v>56</v>
      </c>
      <c r="C20" s="46" t="s">
        <v>57</v>
      </c>
      <c r="D20" s="41" t="s">
        <v>58</v>
      </c>
      <c r="E20" s="41" t="s">
        <v>30</v>
      </c>
      <c r="F20" s="41" t="s">
        <v>50</v>
      </c>
      <c r="G20" s="47" t="s">
        <v>59</v>
      </c>
      <c r="H20" s="42">
        <v>46092</v>
      </c>
      <c r="I20" s="42">
        <v>46098</v>
      </c>
      <c r="J20" s="48"/>
      <c r="K20" s="48"/>
      <c r="L20" s="37"/>
      <c r="M20" s="36"/>
    </row>
    <row r="21" s="36" customFormat="1" ht="14.25">
      <c r="A21" s="37"/>
      <c r="B21" s="61" t="s">
        <v>60</v>
      </c>
      <c r="C21" s="62" t="s">
        <v>61</v>
      </c>
      <c r="D21" s="41" t="s">
        <v>62</v>
      </c>
      <c r="E21" s="41" t="s">
        <v>30</v>
      </c>
      <c r="F21" s="41" t="s">
        <v>50</v>
      </c>
      <c r="G21" s="48" t="s">
        <v>52</v>
      </c>
      <c r="H21" s="63">
        <v>46092</v>
      </c>
      <c r="I21" s="63">
        <v>46094</v>
      </c>
      <c r="J21" s="48"/>
      <c r="K21" s="48"/>
      <c r="L21" s="37"/>
      <c r="M21" s="36"/>
      <c r="O21" s="36"/>
      <c r="P21" s="36"/>
    </row>
    <row r="22" s="36" customFormat="1" ht="14.25">
      <c r="A22" s="37"/>
      <c r="B22" s="61" t="s">
        <v>63</v>
      </c>
      <c r="C22" s="62" t="s">
        <v>64</v>
      </c>
      <c r="D22" s="41" t="s">
        <v>58</v>
      </c>
      <c r="E22" s="41" t="s">
        <v>30</v>
      </c>
      <c r="F22" s="41" t="s">
        <v>60</v>
      </c>
      <c r="G22" s="48" t="s">
        <v>39</v>
      </c>
      <c r="H22" s="63">
        <v>46097</v>
      </c>
      <c r="I22" s="63">
        <v>46098</v>
      </c>
      <c r="J22" s="48"/>
      <c r="K22" s="48"/>
      <c r="L22" s="37"/>
      <c r="M22" s="36"/>
      <c r="O22" s="36"/>
      <c r="P22" s="36"/>
    </row>
    <row r="23" s="36" customFormat="1" ht="14.25">
      <c r="A23" s="37"/>
      <c r="B23" s="45" t="s">
        <v>65</v>
      </c>
      <c r="C23" s="46" t="s">
        <v>66</v>
      </c>
      <c r="D23" s="41" t="s">
        <v>55</v>
      </c>
      <c r="E23" s="41" t="s">
        <v>30</v>
      </c>
      <c r="F23" s="41"/>
      <c r="G23" s="47" t="s">
        <v>67</v>
      </c>
      <c r="H23" s="42">
        <v>46092</v>
      </c>
      <c r="I23" s="42">
        <v>46101</v>
      </c>
      <c r="J23" s="48"/>
      <c r="K23" s="48"/>
      <c r="L23" s="37"/>
      <c r="M23" s="36"/>
    </row>
    <row r="24" s="36" customFormat="1" ht="14.25">
      <c r="A24" s="37"/>
      <c r="B24" s="61" t="s">
        <v>68</v>
      </c>
      <c r="C24" s="62" t="s">
        <v>69</v>
      </c>
      <c r="D24" s="41" t="s">
        <v>70</v>
      </c>
      <c r="E24" s="41" t="s">
        <v>30</v>
      </c>
      <c r="F24" s="41" t="s">
        <v>47</v>
      </c>
      <c r="G24" s="48" t="s">
        <v>52</v>
      </c>
      <c r="H24" s="63">
        <v>46092</v>
      </c>
      <c r="I24" s="63">
        <v>46094</v>
      </c>
      <c r="J24" s="48"/>
      <c r="K24" s="48"/>
      <c r="L24" s="37"/>
      <c r="M24" s="36"/>
    </row>
    <row r="25" s="36" customFormat="1" ht="14.25">
      <c r="A25" s="37"/>
      <c r="B25" s="61" t="s">
        <v>71</v>
      </c>
      <c r="C25" s="62" t="s">
        <v>72</v>
      </c>
      <c r="D25" s="41" t="s">
        <v>55</v>
      </c>
      <c r="E25" s="41" t="s">
        <v>30</v>
      </c>
      <c r="F25" s="41" t="s">
        <v>73</v>
      </c>
      <c r="G25" s="48" t="s">
        <v>52</v>
      </c>
      <c r="H25" s="63">
        <v>46097</v>
      </c>
      <c r="I25" s="63">
        <v>46099</v>
      </c>
      <c r="J25" s="48"/>
      <c r="K25" s="48"/>
      <c r="L25" s="37"/>
      <c r="M25" s="36"/>
    </row>
    <row r="26" s="36" customFormat="1" ht="14.25">
      <c r="A26" s="37"/>
      <c r="B26" s="64" t="s">
        <v>74</v>
      </c>
      <c r="C26" s="65" t="s">
        <v>75</v>
      </c>
      <c r="D26" s="51" t="s">
        <v>76</v>
      </c>
      <c r="E26" s="51" t="s">
        <v>30</v>
      </c>
      <c r="F26" s="51" t="s">
        <v>63</v>
      </c>
      <c r="G26" s="54" t="s">
        <v>77</v>
      </c>
      <c r="H26" s="66">
        <v>46100</v>
      </c>
      <c r="I26" s="66">
        <v>46101</v>
      </c>
      <c r="J26" s="54"/>
      <c r="K26" s="54"/>
      <c r="L26" s="37"/>
      <c r="M26" s="36"/>
    </row>
    <row r="27" s="36" customFormat="1" ht="15">
      <c r="A27" s="37"/>
      <c r="B27" s="55" t="s">
        <v>78</v>
      </c>
      <c r="C27" s="56" t="s">
        <v>79</v>
      </c>
      <c r="D27" s="57" t="s">
        <v>29</v>
      </c>
      <c r="E27" s="57" t="s">
        <v>80</v>
      </c>
      <c r="F27" s="57" t="s">
        <v>29</v>
      </c>
      <c r="G27" s="58" t="s">
        <v>81</v>
      </c>
      <c r="H27" s="59">
        <v>46090</v>
      </c>
      <c r="I27" s="59">
        <v>46122</v>
      </c>
      <c r="J27" s="60"/>
      <c r="K27" s="67"/>
      <c r="L27" s="68"/>
      <c r="M27" s="36"/>
      <c r="O27" s="69"/>
    </row>
    <row r="28" s="36" customFormat="1" ht="14.25">
      <c r="A28" s="37"/>
      <c r="B28" s="45" t="s">
        <v>82</v>
      </c>
      <c r="C28" s="46" t="s">
        <v>83</v>
      </c>
      <c r="D28" s="41" t="s">
        <v>84</v>
      </c>
      <c r="E28" s="41" t="s">
        <v>80</v>
      </c>
      <c r="F28" s="41">
        <v>2.1000000000000001</v>
      </c>
      <c r="G28" s="47" t="s">
        <v>59</v>
      </c>
      <c r="H28" s="42">
        <v>46090</v>
      </c>
      <c r="I28" s="42">
        <v>46094</v>
      </c>
      <c r="J28" s="48"/>
      <c r="K28" s="70"/>
      <c r="L28" s="68"/>
      <c r="M28" s="36"/>
    </row>
    <row r="29" s="36" customFormat="1" ht="14.25">
      <c r="A29" s="37"/>
      <c r="B29" s="45" t="s">
        <v>85</v>
      </c>
      <c r="C29" s="46" t="s">
        <v>86</v>
      </c>
      <c r="D29" s="41" t="s">
        <v>29</v>
      </c>
      <c r="E29" s="41" t="s">
        <v>80</v>
      </c>
      <c r="F29" s="41">
        <v>3.1000000000000001</v>
      </c>
      <c r="G29" s="47" t="s">
        <v>87</v>
      </c>
      <c r="H29" s="42">
        <v>46097</v>
      </c>
      <c r="I29" s="42">
        <v>46122</v>
      </c>
      <c r="J29" s="48"/>
      <c r="K29" s="70"/>
      <c r="L29" s="68"/>
      <c r="M29" s="36"/>
    </row>
    <row r="30" s="36" customFormat="1" ht="14.25">
      <c r="A30" s="37"/>
      <c r="B30" s="61" t="s">
        <v>88</v>
      </c>
      <c r="C30" s="62" t="s">
        <v>89</v>
      </c>
      <c r="D30" s="41" t="s">
        <v>90</v>
      </c>
      <c r="E30" s="41" t="s">
        <v>80</v>
      </c>
      <c r="F30" s="41">
        <v>3.1000000000000001</v>
      </c>
      <c r="G30" s="48" t="s">
        <v>87</v>
      </c>
      <c r="H30" s="63">
        <v>46097</v>
      </c>
      <c r="I30" s="63">
        <v>46122</v>
      </c>
      <c r="J30" s="48"/>
      <c r="K30" s="70"/>
      <c r="L30" s="68"/>
      <c r="M30" s="36"/>
    </row>
    <row r="31" s="36" customFormat="1" ht="14.25">
      <c r="A31" s="37"/>
      <c r="B31" s="64" t="s">
        <v>91</v>
      </c>
      <c r="C31" s="54" t="s">
        <v>92</v>
      </c>
      <c r="D31" s="51" t="s">
        <v>93</v>
      </c>
      <c r="E31" s="51" t="s">
        <v>80</v>
      </c>
      <c r="F31" s="51">
        <v>3.1000000000000001</v>
      </c>
      <c r="G31" s="54" t="s">
        <v>87</v>
      </c>
      <c r="H31" s="66">
        <v>46097</v>
      </c>
      <c r="I31" s="66">
        <v>46122</v>
      </c>
      <c r="J31" s="54"/>
      <c r="K31" s="71"/>
      <c r="M31" s="36"/>
    </row>
    <row r="32" s="36" customFormat="1" ht="15">
      <c r="A32" s="37"/>
      <c r="B32" s="55" t="s">
        <v>94</v>
      </c>
      <c r="C32" s="56" t="s">
        <v>95</v>
      </c>
      <c r="D32" s="57" t="s">
        <v>29</v>
      </c>
      <c r="E32" s="57" t="s">
        <v>80</v>
      </c>
      <c r="F32" s="57" t="s">
        <v>29</v>
      </c>
      <c r="G32" s="58" t="s">
        <v>87</v>
      </c>
      <c r="H32" s="59">
        <v>46125</v>
      </c>
      <c r="I32" s="59">
        <v>46157</v>
      </c>
      <c r="J32" s="60"/>
      <c r="K32" s="72"/>
      <c r="L32" s="68"/>
      <c r="M32" s="36"/>
      <c r="N32" s="36"/>
      <c r="O32" s="73"/>
    </row>
    <row r="33" s="36" customFormat="1" ht="14.25">
      <c r="A33" s="37"/>
      <c r="B33" s="45" t="s">
        <v>96</v>
      </c>
      <c r="C33" s="46" t="s">
        <v>97</v>
      </c>
      <c r="D33" s="41" t="s">
        <v>93</v>
      </c>
      <c r="E33" s="41" t="s">
        <v>80</v>
      </c>
      <c r="F33" s="41" t="s">
        <v>29</v>
      </c>
      <c r="G33" s="47" t="s">
        <v>87</v>
      </c>
      <c r="H33" s="42">
        <v>46125</v>
      </c>
      <c r="I33" s="42">
        <v>46157</v>
      </c>
      <c r="J33" s="48"/>
      <c r="K33" s="74"/>
      <c r="L33" s="68"/>
      <c r="M33" s="36"/>
      <c r="N33" s="36"/>
      <c r="O33" s="36"/>
    </row>
    <row r="34" s="36" customFormat="1" ht="14.25">
      <c r="A34" s="37"/>
      <c r="B34" s="61" t="s">
        <v>98</v>
      </c>
      <c r="C34" s="62" t="s">
        <v>99</v>
      </c>
      <c r="D34" s="41" t="s">
        <v>93</v>
      </c>
      <c r="E34" s="41" t="s">
        <v>80</v>
      </c>
      <c r="F34" s="41">
        <v>2.2999999999999998</v>
      </c>
      <c r="G34" s="48" t="s">
        <v>59</v>
      </c>
      <c r="H34" s="63">
        <v>46125</v>
      </c>
      <c r="I34" s="63">
        <v>46129</v>
      </c>
      <c r="J34" s="48"/>
      <c r="K34" s="75"/>
      <c r="L34" s="68"/>
      <c r="M34" s="36"/>
      <c r="N34" s="36"/>
      <c r="O34" s="36"/>
    </row>
    <row r="35" s="36" customFormat="1" ht="14.25">
      <c r="A35" s="37"/>
      <c r="B35" s="61" t="s">
        <v>100</v>
      </c>
      <c r="C35" s="62" t="s">
        <v>101</v>
      </c>
      <c r="D35" s="41" t="s">
        <v>93</v>
      </c>
      <c r="E35" s="41" t="s">
        <v>80</v>
      </c>
      <c r="F35" s="41" t="s">
        <v>98</v>
      </c>
      <c r="G35" s="48" t="s">
        <v>59</v>
      </c>
      <c r="H35" s="63">
        <v>46132</v>
      </c>
      <c r="I35" s="63">
        <v>46136</v>
      </c>
      <c r="J35" s="48"/>
      <c r="K35" s="75"/>
      <c r="L35" s="68"/>
      <c r="M35" s="36"/>
      <c r="N35" s="36"/>
      <c r="O35" s="36"/>
    </row>
    <row r="36" s="36" customFormat="1" ht="14.25">
      <c r="A36" s="37"/>
      <c r="B36" s="61" t="s">
        <v>102</v>
      </c>
      <c r="C36" s="62" t="s">
        <v>103</v>
      </c>
      <c r="D36" s="41" t="s">
        <v>93</v>
      </c>
      <c r="E36" s="41" t="s">
        <v>80</v>
      </c>
      <c r="F36" s="41" t="s">
        <v>100</v>
      </c>
      <c r="G36" s="48" t="s">
        <v>59</v>
      </c>
      <c r="H36" s="63">
        <v>46146</v>
      </c>
      <c r="I36" s="63">
        <v>46150</v>
      </c>
      <c r="J36" s="48"/>
      <c r="K36" s="75"/>
      <c r="L36" s="68"/>
      <c r="M36" s="36"/>
      <c r="N36" s="36"/>
      <c r="O36" s="36"/>
    </row>
    <row r="37" s="36" customFormat="1" ht="14.25">
      <c r="A37" s="37"/>
      <c r="B37" s="61" t="s">
        <v>104</v>
      </c>
      <c r="C37" s="62" t="s">
        <v>105</v>
      </c>
      <c r="D37" s="41" t="s">
        <v>93</v>
      </c>
      <c r="E37" s="41" t="s">
        <v>80</v>
      </c>
      <c r="F37" s="41" t="s">
        <v>100</v>
      </c>
      <c r="G37" s="48" t="s">
        <v>59</v>
      </c>
      <c r="H37" s="63">
        <v>46153</v>
      </c>
      <c r="I37" s="63">
        <v>46157</v>
      </c>
      <c r="J37" s="48"/>
      <c r="K37" s="75"/>
      <c r="L37" s="68"/>
      <c r="M37" s="36"/>
      <c r="N37" s="36"/>
      <c r="O37" s="36"/>
    </row>
    <row r="38" s="36" customFormat="1" ht="14.25">
      <c r="A38" s="76"/>
      <c r="B38" s="45" t="s">
        <v>106</v>
      </c>
      <c r="C38" s="47" t="s">
        <v>107</v>
      </c>
      <c r="D38" s="41" t="s">
        <v>90</v>
      </c>
      <c r="E38" s="41" t="s">
        <v>80</v>
      </c>
      <c r="F38" s="41" t="s">
        <v>29</v>
      </c>
      <c r="G38" s="47" t="s">
        <v>87</v>
      </c>
      <c r="H38" s="42">
        <v>46125</v>
      </c>
      <c r="I38" s="42">
        <v>46157</v>
      </c>
      <c r="J38" s="48"/>
      <c r="K38" s="77"/>
      <c r="L38" s="68"/>
      <c r="M38" s="36"/>
      <c r="N38" s="36"/>
      <c r="O38" s="36"/>
    </row>
    <row r="39" s="36" customFormat="1" ht="14.25">
      <c r="A39" s="76"/>
      <c r="B39" s="61" t="s">
        <v>108</v>
      </c>
      <c r="C39" s="62" t="s">
        <v>109</v>
      </c>
      <c r="D39" s="41" t="s">
        <v>90</v>
      </c>
      <c r="E39" s="41" t="s">
        <v>80</v>
      </c>
      <c r="F39" s="41" t="s">
        <v>110</v>
      </c>
      <c r="G39" s="48" t="s">
        <v>59</v>
      </c>
      <c r="H39" s="63">
        <v>46125</v>
      </c>
      <c r="I39" s="63">
        <v>46129</v>
      </c>
      <c r="J39" s="48"/>
      <c r="K39" s="77"/>
      <c r="L39" s="68"/>
      <c r="M39" s="36"/>
      <c r="N39" s="36"/>
      <c r="O39" s="36"/>
    </row>
    <row r="40" s="36" customFormat="1" ht="14.25">
      <c r="A40" s="76"/>
      <c r="B40" s="61" t="s">
        <v>111</v>
      </c>
      <c r="C40" s="62" t="s">
        <v>112</v>
      </c>
      <c r="D40" s="41" t="s">
        <v>90</v>
      </c>
      <c r="E40" s="41" t="s">
        <v>80</v>
      </c>
      <c r="F40" s="41" t="s">
        <v>108</v>
      </c>
      <c r="G40" s="48" t="s">
        <v>59</v>
      </c>
      <c r="H40" s="63">
        <v>46132</v>
      </c>
      <c r="I40" s="63">
        <v>46136</v>
      </c>
      <c r="J40" s="48"/>
      <c r="K40" s="77"/>
      <c r="L40" s="68"/>
      <c r="M40" s="36"/>
      <c r="N40" s="36"/>
      <c r="O40" s="36"/>
    </row>
    <row r="41" s="36" customFormat="1" ht="14.25">
      <c r="A41" s="76"/>
      <c r="B41" s="61" t="s">
        <v>113</v>
      </c>
      <c r="C41" s="62" t="s">
        <v>114</v>
      </c>
      <c r="D41" s="41" t="s">
        <v>90</v>
      </c>
      <c r="E41" s="41" t="s">
        <v>80</v>
      </c>
      <c r="F41" s="41" t="s">
        <v>111</v>
      </c>
      <c r="G41" s="48" t="s">
        <v>59</v>
      </c>
      <c r="H41" s="63">
        <v>46146</v>
      </c>
      <c r="I41" s="63">
        <v>46150</v>
      </c>
      <c r="J41" s="48"/>
      <c r="K41" s="78" t="s">
        <v>115</v>
      </c>
      <c r="L41" s="68"/>
      <c r="M41" s="36"/>
      <c r="N41" s="36"/>
      <c r="O41" s="36"/>
    </row>
    <row r="42" s="36" customFormat="1" ht="14.25">
      <c r="A42" s="76"/>
      <c r="B42" s="64" t="s">
        <v>116</v>
      </c>
      <c r="C42" s="65" t="s">
        <v>105</v>
      </c>
      <c r="D42" s="51" t="s">
        <v>90</v>
      </c>
      <c r="E42" s="51" t="s">
        <v>80</v>
      </c>
      <c r="F42" s="51" t="s">
        <v>111</v>
      </c>
      <c r="G42" s="54" t="s">
        <v>59</v>
      </c>
      <c r="H42" s="66">
        <v>46153</v>
      </c>
      <c r="I42" s="66">
        <v>46157</v>
      </c>
      <c r="J42" s="54"/>
      <c r="K42" s="79"/>
      <c r="L42" s="68"/>
      <c r="M42" s="36"/>
      <c r="N42" s="36"/>
      <c r="O42" s="36"/>
    </row>
    <row r="43" s="36" customFormat="1" ht="15">
      <c r="A43" s="76"/>
      <c r="B43" s="80" t="s">
        <v>117</v>
      </c>
      <c r="C43" s="81" t="s">
        <v>118</v>
      </c>
      <c r="D43" s="82" t="s">
        <v>29</v>
      </c>
      <c r="E43" s="82" t="s">
        <v>80</v>
      </c>
      <c r="F43" s="57" t="s">
        <v>29</v>
      </c>
      <c r="G43" s="58" t="s">
        <v>119</v>
      </c>
      <c r="H43" s="59">
        <v>46097</v>
      </c>
      <c r="I43" s="59">
        <v>46125</v>
      </c>
      <c r="J43" s="60"/>
      <c r="K43" s="60"/>
      <c r="L43" s="76"/>
      <c r="M43" s="36"/>
    </row>
    <row r="44" s="36" customFormat="1" ht="14.25">
      <c r="A44" s="76"/>
      <c r="B44" s="83" t="s">
        <v>120</v>
      </c>
      <c r="C44" s="84" t="s">
        <v>121</v>
      </c>
      <c r="D44" s="85" t="s">
        <v>122</v>
      </c>
      <c r="E44" s="85" t="s">
        <v>80</v>
      </c>
      <c r="F44" s="41">
        <v>2.2999999999999998</v>
      </c>
      <c r="G44" s="47" t="s">
        <v>59</v>
      </c>
      <c r="H44" s="42">
        <v>46097</v>
      </c>
      <c r="I44" s="42">
        <v>46101</v>
      </c>
      <c r="J44" s="48"/>
      <c r="K44" s="48"/>
      <c r="L44" s="76"/>
      <c r="M44" s="36"/>
    </row>
    <row r="45" s="36" customFormat="1" ht="14.25">
      <c r="A45" s="76"/>
      <c r="B45" s="83" t="s">
        <v>123</v>
      </c>
      <c r="C45" s="86" t="s">
        <v>124</v>
      </c>
      <c r="D45" s="85" t="s">
        <v>122</v>
      </c>
      <c r="E45" s="85" t="s">
        <v>80</v>
      </c>
      <c r="F45" s="85">
        <v>5.0999999999999996</v>
      </c>
      <c r="G45" s="86" t="s">
        <v>59</v>
      </c>
      <c r="H45" s="87">
        <v>46104</v>
      </c>
      <c r="I45" s="87">
        <v>46108</v>
      </c>
      <c r="J45" s="88"/>
      <c r="K45" s="88"/>
      <c r="L45" s="76"/>
      <c r="M45" s="36"/>
    </row>
    <row r="46" s="36" customFormat="1" ht="14.25">
      <c r="A46" s="76"/>
      <c r="B46" s="83" t="s">
        <v>125</v>
      </c>
      <c r="C46" s="84" t="s">
        <v>126</v>
      </c>
      <c r="D46" s="85" t="s">
        <v>122</v>
      </c>
      <c r="E46" s="85" t="s">
        <v>80</v>
      </c>
      <c r="F46" s="41" t="s">
        <v>94</v>
      </c>
      <c r="G46" s="47" t="s">
        <v>59</v>
      </c>
      <c r="H46" s="42">
        <v>46114</v>
      </c>
      <c r="I46" s="42">
        <v>46118</v>
      </c>
      <c r="J46" s="48"/>
      <c r="K46" s="48"/>
      <c r="L46" s="76"/>
      <c r="M46" s="36"/>
    </row>
    <row r="47" s="36" customFormat="1" ht="14.25">
      <c r="A47" s="76"/>
      <c r="B47" s="89" t="s">
        <v>127</v>
      </c>
      <c r="C47" s="90" t="s">
        <v>128</v>
      </c>
      <c r="D47" s="91" t="s">
        <v>122</v>
      </c>
      <c r="E47" s="91" t="s">
        <v>80</v>
      </c>
      <c r="F47" s="51">
        <v>5.2999999999999998</v>
      </c>
      <c r="G47" s="52" t="s">
        <v>129</v>
      </c>
      <c r="H47" s="53">
        <v>46121</v>
      </c>
      <c r="I47" s="53">
        <v>46123</v>
      </c>
      <c r="J47" s="54"/>
      <c r="K47" s="54"/>
      <c r="L47" s="76"/>
      <c r="M47" s="36"/>
    </row>
    <row r="48" s="36" customFormat="1" ht="14.25">
      <c r="A48" s="76"/>
      <c r="B48" s="89" t="s">
        <v>130</v>
      </c>
      <c r="C48" s="90" t="s">
        <v>131</v>
      </c>
      <c r="D48" s="91" t="s">
        <v>122</v>
      </c>
      <c r="E48" s="91" t="s">
        <v>80</v>
      </c>
      <c r="F48" s="51">
        <v>5.2999999999999998</v>
      </c>
      <c r="G48" s="52" t="s">
        <v>129</v>
      </c>
      <c r="H48" s="53">
        <v>46123</v>
      </c>
      <c r="I48" s="53">
        <v>46125</v>
      </c>
      <c r="J48" s="54"/>
      <c r="K48" s="54"/>
      <c r="L48" s="76"/>
      <c r="M48" s="36"/>
    </row>
    <row r="49" s="36" customFormat="1" ht="15">
      <c r="A49" s="76"/>
      <c r="B49" s="80" t="s">
        <v>132</v>
      </c>
      <c r="C49" s="92" t="s">
        <v>133</v>
      </c>
      <c r="D49" s="82" t="s">
        <v>134</v>
      </c>
      <c r="E49" s="82" t="s">
        <v>30</v>
      </c>
      <c r="F49" s="82" t="s">
        <v>29</v>
      </c>
      <c r="G49" s="93" t="s">
        <v>135</v>
      </c>
      <c r="H49" s="59">
        <v>46104</v>
      </c>
      <c r="I49" s="59">
        <v>46185</v>
      </c>
      <c r="J49" s="94"/>
      <c r="K49" s="94"/>
      <c r="L49" s="76"/>
      <c r="M49" s="36"/>
    </row>
    <row r="50" s="36" customFormat="1" ht="14.25">
      <c r="A50" s="76"/>
      <c r="B50" s="83" t="s">
        <v>136</v>
      </c>
      <c r="C50" s="84" t="s">
        <v>137</v>
      </c>
      <c r="D50" s="85" t="s">
        <v>134</v>
      </c>
      <c r="E50" s="85" t="s">
        <v>30</v>
      </c>
      <c r="F50" s="41">
        <v>2.1000000000000001</v>
      </c>
      <c r="G50" s="47" t="s">
        <v>138</v>
      </c>
      <c r="H50" s="42">
        <v>46104</v>
      </c>
      <c r="I50" s="42">
        <v>46122</v>
      </c>
      <c r="J50" s="48"/>
      <c r="K50" s="48"/>
      <c r="L50" s="76"/>
      <c r="M50" s="36"/>
    </row>
    <row r="51" s="36" customFormat="1" ht="14.25">
      <c r="A51" s="76"/>
      <c r="B51" s="83" t="s">
        <v>139</v>
      </c>
      <c r="C51" s="86" t="s">
        <v>140</v>
      </c>
      <c r="D51" s="85" t="s">
        <v>134</v>
      </c>
      <c r="E51" s="85" t="s">
        <v>30</v>
      </c>
      <c r="F51" s="85" t="s">
        <v>141</v>
      </c>
      <c r="G51" s="86" t="s">
        <v>142</v>
      </c>
      <c r="H51" s="42">
        <v>46160</v>
      </c>
      <c r="I51" s="42">
        <v>46164</v>
      </c>
      <c r="J51" s="88"/>
      <c r="K51" s="88"/>
      <c r="L51" s="76"/>
      <c r="M51" s="36"/>
    </row>
    <row r="52" s="36" customFormat="1" ht="14.25">
      <c r="A52" s="76"/>
      <c r="B52" s="83" t="s">
        <v>143</v>
      </c>
      <c r="C52" s="84" t="s">
        <v>144</v>
      </c>
      <c r="D52" s="85" t="s">
        <v>145</v>
      </c>
      <c r="E52" s="85" t="s">
        <v>80</v>
      </c>
      <c r="F52" s="85">
        <v>6.2000000000000002</v>
      </c>
      <c r="G52" s="86" t="s">
        <v>142</v>
      </c>
      <c r="H52" s="42">
        <v>46160</v>
      </c>
      <c r="I52" s="42">
        <v>46164</v>
      </c>
      <c r="J52" s="88"/>
      <c r="K52" s="95"/>
      <c r="L52" s="96"/>
      <c r="M52" s="36"/>
      <c r="N52" s="36"/>
      <c r="O52" s="36"/>
      <c r="P52" s="36"/>
    </row>
    <row r="53" s="36" customFormat="1" ht="14.25">
      <c r="A53" s="76"/>
      <c r="B53" s="83" t="s">
        <v>146</v>
      </c>
      <c r="C53" s="84" t="s">
        <v>147</v>
      </c>
      <c r="D53" s="85" t="s">
        <v>122</v>
      </c>
      <c r="E53" s="85" t="s">
        <v>80</v>
      </c>
      <c r="F53" s="41">
        <v>6.2999999999999998</v>
      </c>
      <c r="G53" s="97" t="s">
        <v>148</v>
      </c>
      <c r="H53" s="42">
        <v>46164</v>
      </c>
      <c r="I53" s="42">
        <v>46164</v>
      </c>
      <c r="J53" s="44"/>
      <c r="K53" s="44"/>
      <c r="L53" s="76"/>
      <c r="M53" s="36"/>
    </row>
    <row r="54" s="36" customFormat="1" ht="14.25">
      <c r="A54" s="76"/>
      <c r="B54" s="83" t="s">
        <v>149</v>
      </c>
      <c r="C54" s="84" t="s">
        <v>150</v>
      </c>
      <c r="D54" s="85" t="s">
        <v>151</v>
      </c>
      <c r="E54" s="85" t="s">
        <v>30</v>
      </c>
      <c r="F54" s="41">
        <v>6.4000000000000004</v>
      </c>
      <c r="G54" s="47" t="s">
        <v>33</v>
      </c>
      <c r="H54" s="42">
        <v>46167</v>
      </c>
      <c r="I54" s="42">
        <v>46171</v>
      </c>
      <c r="J54" s="44"/>
      <c r="K54" s="44"/>
      <c r="L54" s="76"/>
      <c r="M54" s="36"/>
    </row>
    <row r="55" s="36" customFormat="1" ht="14.25">
      <c r="A55" s="76"/>
      <c r="B55" s="89" t="s">
        <v>152</v>
      </c>
      <c r="C55" s="90" t="s">
        <v>153</v>
      </c>
      <c r="D55" s="91" t="s">
        <v>145</v>
      </c>
      <c r="E55" s="91" t="s">
        <v>30</v>
      </c>
      <c r="F55" s="51">
        <v>6.5</v>
      </c>
      <c r="G55" s="52" t="s">
        <v>33</v>
      </c>
      <c r="H55" s="53">
        <v>46167</v>
      </c>
      <c r="I55" s="53">
        <v>46171</v>
      </c>
      <c r="J55" s="98"/>
      <c r="K55" s="98"/>
      <c r="L55" s="76"/>
      <c r="M55" s="36"/>
    </row>
    <row r="56" s="36" customFormat="1" ht="15">
      <c r="A56" s="76"/>
      <c r="B56" s="80" t="s">
        <v>154</v>
      </c>
      <c r="C56" s="81" t="s">
        <v>155</v>
      </c>
      <c r="D56" s="82" t="s">
        <v>29</v>
      </c>
      <c r="E56" s="82" t="s">
        <v>30</v>
      </c>
      <c r="F56" s="57" t="s">
        <v>29</v>
      </c>
      <c r="G56" s="58" t="s">
        <v>59</v>
      </c>
      <c r="H56" s="99">
        <v>46174</v>
      </c>
      <c r="I56" s="99">
        <v>46178</v>
      </c>
      <c r="J56" s="60"/>
      <c r="K56" s="60"/>
      <c r="L56" s="76"/>
      <c r="M56" s="36"/>
    </row>
    <row r="57" s="36" customFormat="1" ht="14.25">
      <c r="A57" s="76"/>
      <c r="B57" s="83" t="s">
        <v>156</v>
      </c>
      <c r="C57" s="84" t="s">
        <v>157</v>
      </c>
      <c r="D57" s="85" t="s">
        <v>122</v>
      </c>
      <c r="E57" s="85" t="s">
        <v>30</v>
      </c>
      <c r="F57" s="100" t="s">
        <v>132</v>
      </c>
      <c r="G57" s="47" t="s">
        <v>158</v>
      </c>
      <c r="H57" s="42">
        <v>46174</v>
      </c>
      <c r="I57" s="42">
        <v>46174</v>
      </c>
      <c r="J57" s="48"/>
      <c r="K57" s="48"/>
      <c r="L57" s="76"/>
      <c r="M57" s="36"/>
    </row>
    <row r="58" s="36" customFormat="1" ht="14.25">
      <c r="A58" s="76"/>
      <c r="B58" s="83" t="s">
        <v>159</v>
      </c>
      <c r="C58" s="84" t="s">
        <v>160</v>
      </c>
      <c r="D58" s="85" t="s">
        <v>122</v>
      </c>
      <c r="E58" s="85" t="s">
        <v>30</v>
      </c>
      <c r="F58" s="41" t="s">
        <v>132</v>
      </c>
      <c r="G58" s="47" t="s">
        <v>158</v>
      </c>
      <c r="H58" s="42">
        <v>46175</v>
      </c>
      <c r="I58" s="42">
        <v>46175</v>
      </c>
      <c r="J58" s="48"/>
      <c r="K58" s="48"/>
      <c r="L58" s="76"/>
      <c r="M58" s="36"/>
    </row>
    <row r="59" s="36" customFormat="1" ht="14.25">
      <c r="A59" s="76"/>
      <c r="B59" s="83" t="s">
        <v>161</v>
      </c>
      <c r="C59" s="84" t="s">
        <v>162</v>
      </c>
      <c r="D59" s="85" t="s">
        <v>163</v>
      </c>
      <c r="E59" s="85" t="s">
        <v>30</v>
      </c>
      <c r="F59" s="41" t="s">
        <v>132</v>
      </c>
      <c r="G59" s="47" t="s">
        <v>164</v>
      </c>
      <c r="H59" s="42">
        <v>46176</v>
      </c>
      <c r="I59" s="42">
        <v>46177</v>
      </c>
      <c r="J59" s="48"/>
      <c r="K59" s="48"/>
      <c r="L59" s="76"/>
      <c r="M59" s="36"/>
    </row>
    <row r="60" s="36" customFormat="1" ht="14.25">
      <c r="A60" s="76"/>
      <c r="B60" s="83" t="s">
        <v>165</v>
      </c>
      <c r="C60" s="84" t="s">
        <v>166</v>
      </c>
      <c r="D60" s="85" t="s">
        <v>30</v>
      </c>
      <c r="E60" s="85" t="s">
        <v>30</v>
      </c>
      <c r="F60" s="41" t="s">
        <v>167</v>
      </c>
      <c r="G60" s="47" t="s">
        <v>164</v>
      </c>
      <c r="H60" s="42">
        <v>46177</v>
      </c>
      <c r="I60" s="42">
        <v>46178</v>
      </c>
      <c r="J60" s="48"/>
      <c r="K60" s="48"/>
      <c r="L60" s="76"/>
      <c r="M60" s="36"/>
    </row>
    <row r="61" s="36" customFormat="1" ht="14.25">
      <c r="A61" s="36"/>
      <c r="B61" s="36"/>
      <c r="C61" s="36"/>
      <c r="D61" s="36"/>
      <c r="E61" s="36"/>
      <c r="F61" s="36"/>
      <c r="G61" s="36"/>
      <c r="H61" s="36"/>
      <c r="I61" s="36"/>
      <c r="J61" s="36"/>
      <c r="K61" s="36"/>
      <c r="L61" s="36"/>
      <c r="M61" s="36"/>
    </row>
    <row r="62" s="36" customFormat="1" ht="14.25">
      <c r="A62" s="36"/>
      <c r="B62" s="36"/>
      <c r="C62" s="36"/>
      <c r="D62" s="36"/>
      <c r="E62" s="36"/>
      <c r="F62" s="36"/>
      <c r="G62" s="36"/>
      <c r="H62" s="36"/>
      <c r="I62" s="36"/>
      <c r="J62" s="36"/>
      <c r="K62" s="36"/>
      <c r="L62" s="36"/>
      <c r="M62" s="36"/>
    </row>
    <row r="63" s="36" customFormat="1" ht="14.25">
      <c r="A63" s="36"/>
      <c r="B63" s="36"/>
      <c r="C63" s="36"/>
      <c r="D63" s="36"/>
      <c r="E63" s="36"/>
      <c r="F63" s="36"/>
      <c r="G63" s="36"/>
      <c r="H63" s="36"/>
      <c r="I63" s="36"/>
      <c r="J63" s="36"/>
      <c r="K63" s="36"/>
      <c r="L63" s="36"/>
      <c r="M63" s="36"/>
    </row>
    <row r="64" s="36" customFormat="1" ht="14.25">
      <c r="A64" s="36"/>
      <c r="B64" s="36"/>
      <c r="C64" s="36"/>
      <c r="D64" s="36"/>
      <c r="E64" s="36"/>
      <c r="F64" s="36"/>
      <c r="G64" s="36"/>
      <c r="H64" s="36"/>
      <c r="I64" s="36"/>
      <c r="J64" s="36"/>
      <c r="K64" s="36"/>
      <c r="L64" s="36"/>
      <c r="M64" s="36"/>
    </row>
    <row r="65" s="36" customFormat="1" ht="14.25">
      <c r="A65" s="36"/>
      <c r="B65" s="36"/>
      <c r="C65" s="36"/>
      <c r="D65" s="36"/>
      <c r="E65" s="36"/>
      <c r="F65" s="36"/>
      <c r="G65" s="36"/>
      <c r="H65" s="36"/>
      <c r="I65" s="36"/>
      <c r="J65" s="36"/>
      <c r="K65" s="36"/>
      <c r="L65" s="36"/>
      <c r="M65" s="36"/>
    </row>
    <row r="66" s="36" customFormat="1" ht="14.25">
      <c r="A66" s="36"/>
      <c r="B66" s="36"/>
      <c r="C66" s="36"/>
      <c r="D66" s="36"/>
      <c r="E66" s="36"/>
      <c r="F66" s="36"/>
      <c r="G66" s="36"/>
      <c r="H66" s="36"/>
      <c r="I66" s="36"/>
      <c r="J66" s="36"/>
      <c r="K66" s="36"/>
      <c r="L66" s="36"/>
      <c r="M66" s="36"/>
    </row>
    <row r="67" s="36" customFormat="1" ht="14.25">
      <c r="A67" s="36"/>
      <c r="B67" s="36"/>
      <c r="C67" s="36"/>
      <c r="D67" s="36"/>
      <c r="E67" s="36"/>
      <c r="F67" s="36"/>
      <c r="G67" s="36"/>
      <c r="H67" s="36"/>
      <c r="I67" s="36"/>
      <c r="J67" s="36"/>
      <c r="K67" s="36"/>
      <c r="L67" s="36"/>
      <c r="M67" s="36"/>
    </row>
    <row r="68" s="36" customFormat="1" ht="14.25">
      <c r="A68" s="36"/>
      <c r="B68" s="36"/>
      <c r="C68" s="36"/>
      <c r="D68" s="36"/>
      <c r="E68" s="36"/>
      <c r="F68" s="36"/>
      <c r="G68" s="36"/>
      <c r="H68" s="36"/>
      <c r="I68" s="36"/>
      <c r="J68" s="36"/>
      <c r="K68" s="36"/>
      <c r="L68" s="36"/>
      <c r="M68" s="36"/>
    </row>
    <row r="69" s="36" customFormat="1" ht="14.25">
      <c r="A69" s="36"/>
      <c r="B69" s="36"/>
      <c r="C69" s="36"/>
      <c r="D69" s="36"/>
      <c r="E69" s="36"/>
      <c r="F69" s="36"/>
      <c r="G69" s="36"/>
      <c r="H69" s="36"/>
      <c r="I69" s="36"/>
      <c r="J69" s="36"/>
      <c r="K69" s="36"/>
      <c r="L69" s="36"/>
      <c r="M69" s="36"/>
    </row>
    <row r="70" s="36" customFormat="1" ht="14.25">
      <c r="A70" s="36"/>
      <c r="B70" s="36"/>
      <c r="C70" s="36"/>
      <c r="D70" s="36"/>
      <c r="E70" s="36"/>
      <c r="F70" s="36"/>
      <c r="G70" s="36"/>
      <c r="H70" s="36"/>
      <c r="I70" s="36"/>
      <c r="J70" s="36"/>
      <c r="K70" s="36"/>
      <c r="L70" s="36"/>
      <c r="M70" s="36"/>
    </row>
    <row r="71" s="36" customFormat="1" ht="14.25">
      <c r="A71" s="36"/>
      <c r="B71" s="36"/>
      <c r="C71" s="36"/>
      <c r="D71" s="36"/>
      <c r="E71" s="36"/>
      <c r="F71" s="36"/>
      <c r="G71" s="36"/>
      <c r="H71" s="36"/>
      <c r="I71" s="36"/>
      <c r="J71" s="36"/>
      <c r="K71" s="36"/>
      <c r="L71" s="36"/>
      <c r="M71" s="36"/>
    </row>
    <row r="72" s="36" customFormat="1" ht="14.25">
      <c r="A72" s="36"/>
      <c r="B72" s="36"/>
      <c r="C72" s="36"/>
      <c r="D72" s="36"/>
      <c r="E72" s="36"/>
      <c r="F72" s="36"/>
      <c r="G72" s="36"/>
      <c r="H72" s="36"/>
      <c r="I72" s="36"/>
      <c r="J72" s="36"/>
      <c r="K72" s="36"/>
      <c r="L72" s="36"/>
      <c r="M72" s="36"/>
    </row>
    <row r="73" s="36" customFormat="1" ht="14.25">
      <c r="A73" s="36"/>
      <c r="B73" s="36"/>
      <c r="C73" s="36"/>
      <c r="D73" s="36"/>
      <c r="E73" s="36"/>
      <c r="F73" s="36"/>
      <c r="G73" s="36"/>
      <c r="H73" s="36"/>
      <c r="I73" s="36"/>
      <c r="J73" s="36"/>
      <c r="K73" s="36"/>
      <c r="L73" s="36"/>
      <c r="M73" s="36"/>
    </row>
    <row r="74" s="36" customFormat="1" ht="14.25">
      <c r="A74" s="36"/>
      <c r="B74" s="36"/>
      <c r="C74" s="36"/>
      <c r="D74" s="36"/>
      <c r="E74" s="36"/>
      <c r="F74" s="36"/>
      <c r="G74" s="36"/>
      <c r="H74" s="36"/>
      <c r="I74" s="36"/>
      <c r="J74" s="36"/>
      <c r="K74" s="36"/>
      <c r="L74" s="36"/>
      <c r="M74" s="36"/>
    </row>
    <row r="75" s="36" customFormat="1" ht="14.25">
      <c r="A75" s="36"/>
      <c r="B75" s="36"/>
      <c r="C75" s="36"/>
      <c r="D75" s="36"/>
      <c r="E75" s="36"/>
      <c r="F75" s="36"/>
      <c r="G75" s="36"/>
      <c r="H75" s="36"/>
      <c r="I75" s="36"/>
      <c r="J75" s="36"/>
      <c r="K75" s="36"/>
      <c r="L75" s="36"/>
      <c r="M75" s="36"/>
    </row>
    <row r="76" s="36" customFormat="1" ht="14.25">
      <c r="A76" s="36"/>
      <c r="B76" s="36"/>
      <c r="C76" s="36"/>
      <c r="D76" s="36"/>
      <c r="E76" s="36"/>
      <c r="F76" s="36"/>
      <c r="G76" s="36"/>
      <c r="H76" s="36"/>
      <c r="I76" s="36"/>
      <c r="J76" s="36"/>
      <c r="K76" s="36"/>
      <c r="L76" s="36"/>
      <c r="M76" s="36"/>
    </row>
    <row r="77" s="36" customFormat="1" ht="14.25">
      <c r="A77" s="36"/>
      <c r="B77" s="36"/>
      <c r="C77" s="36"/>
      <c r="D77" s="36"/>
      <c r="E77" s="36"/>
      <c r="F77" s="36"/>
      <c r="G77" s="36"/>
      <c r="H77" s="36"/>
      <c r="I77" s="36"/>
      <c r="J77" s="36"/>
      <c r="K77" s="36"/>
      <c r="L77" s="36"/>
      <c r="M77" s="36"/>
    </row>
    <row r="78" s="36" customFormat="1" ht="14.25">
      <c r="A78" s="36"/>
      <c r="B78" s="36"/>
      <c r="C78" s="36"/>
      <c r="D78" s="36"/>
      <c r="E78" s="36"/>
      <c r="F78" s="36"/>
      <c r="G78" s="36"/>
      <c r="H78" s="36"/>
      <c r="I78" s="36"/>
      <c r="J78" s="36"/>
      <c r="K78" s="36"/>
      <c r="L78" s="36"/>
      <c r="M78" s="36"/>
    </row>
    <row r="79" s="36" customFormat="1" ht="14.25">
      <c r="A79" s="36"/>
      <c r="B79" s="36"/>
      <c r="C79" s="36"/>
      <c r="D79" s="36"/>
      <c r="E79" s="36"/>
      <c r="F79" s="36"/>
      <c r="G79" s="36"/>
      <c r="H79" s="36"/>
      <c r="I79" s="36"/>
      <c r="J79" s="36"/>
      <c r="K79" s="36"/>
      <c r="L79" s="36"/>
      <c r="M79" s="36"/>
    </row>
    <row r="80" s="36" customFormat="1" ht="14.25">
      <c r="A80" s="36"/>
      <c r="B80" s="36"/>
      <c r="C80" s="36"/>
      <c r="D80" s="36"/>
      <c r="E80" s="36"/>
      <c r="F80" s="36"/>
      <c r="G80" s="36"/>
      <c r="H80" s="36"/>
      <c r="I80" s="36"/>
      <c r="J80" s="36"/>
      <c r="K80" s="36"/>
      <c r="L80" s="36"/>
      <c r="M80" s="36"/>
    </row>
    <row r="81" s="36" customFormat="1" ht="14.25">
      <c r="A81" s="36"/>
      <c r="B81" s="36"/>
      <c r="C81" s="36"/>
      <c r="D81" s="36"/>
      <c r="E81" s="36"/>
      <c r="F81" s="36"/>
      <c r="G81" s="36"/>
      <c r="H81" s="36"/>
      <c r="I81" s="36"/>
      <c r="J81" s="36"/>
      <c r="K81" s="36"/>
      <c r="L81" s="36"/>
      <c r="M81" s="36"/>
    </row>
    <row r="82" s="36" customFormat="1" ht="14.25">
      <c r="A82" s="36"/>
      <c r="B82" s="36"/>
      <c r="C82" s="36"/>
      <c r="D82" s="36"/>
      <c r="E82" s="36"/>
      <c r="F82" s="36"/>
      <c r="G82" s="36"/>
      <c r="H82" s="36"/>
      <c r="I82" s="36"/>
      <c r="J82" s="36"/>
      <c r="K82" s="36"/>
      <c r="L82" s="36"/>
      <c r="M82" s="36"/>
    </row>
    <row r="83" s="36" customFormat="1" ht="14.25">
      <c r="A83" s="36"/>
      <c r="B83" s="36"/>
      <c r="C83" s="36"/>
      <c r="D83" s="36"/>
      <c r="E83" s="36"/>
      <c r="F83" s="36"/>
      <c r="G83" s="36"/>
      <c r="H83" s="36"/>
      <c r="I83" s="36"/>
      <c r="J83" s="36"/>
      <c r="K83" s="36"/>
      <c r="L83" s="36"/>
      <c r="M83" s="36"/>
    </row>
    <row r="84" s="36" customFormat="1" ht="14.25">
      <c r="A84" s="36"/>
      <c r="B84" s="36"/>
      <c r="C84" s="36"/>
      <c r="D84" s="36"/>
      <c r="E84" s="36"/>
      <c r="F84" s="36"/>
      <c r="G84" s="36"/>
      <c r="H84" s="36"/>
      <c r="I84" s="36"/>
      <c r="J84" s="36"/>
      <c r="K84" s="36"/>
      <c r="L84" s="36"/>
      <c r="M84" s="36"/>
    </row>
    <row r="85" s="36" customFormat="1" ht="14.25">
      <c r="A85" s="36"/>
      <c r="B85" s="36"/>
      <c r="C85" s="36"/>
      <c r="D85" s="36"/>
      <c r="E85" s="36"/>
      <c r="F85" s="36"/>
      <c r="G85" s="36"/>
      <c r="H85" s="36"/>
      <c r="I85" s="36"/>
      <c r="J85" s="36"/>
      <c r="K85" s="36"/>
      <c r="L85" s="36"/>
      <c r="M85" s="36"/>
    </row>
    <row r="86" s="36" customFormat="1" ht="14.25">
      <c r="A86" s="36"/>
      <c r="B86" s="36"/>
      <c r="C86" s="36"/>
      <c r="D86" s="36"/>
      <c r="E86" s="36"/>
      <c r="F86" s="36"/>
      <c r="G86" s="36"/>
      <c r="H86" s="36"/>
      <c r="I86" s="36"/>
      <c r="J86" s="36"/>
      <c r="K86" s="36"/>
      <c r="L86" s="36"/>
      <c r="M86" s="36"/>
    </row>
    <row r="87" s="36" customFormat="1" ht="14.25">
      <c r="A87" s="36"/>
      <c r="B87" s="36"/>
      <c r="C87" s="36"/>
      <c r="D87" s="36"/>
      <c r="E87" s="36"/>
      <c r="F87" s="36"/>
      <c r="G87" s="36"/>
      <c r="H87" s="36"/>
      <c r="I87" s="36"/>
      <c r="J87" s="36"/>
      <c r="K87" s="36"/>
      <c r="L87" s="36"/>
      <c r="M87" s="36"/>
    </row>
    <row r="88" s="36" customFormat="1" ht="14.25">
      <c r="A88" s="36"/>
      <c r="B88" s="36"/>
      <c r="C88" s="36"/>
      <c r="D88" s="36"/>
      <c r="E88" s="36"/>
      <c r="F88" s="36"/>
      <c r="G88" s="36"/>
      <c r="H88" s="36"/>
      <c r="I88" s="36"/>
      <c r="J88" s="36"/>
      <c r="K88" s="36"/>
      <c r="L88" s="36"/>
      <c r="M88" s="36"/>
    </row>
    <row r="89" ht="14.25">
      <c r="B89" s="1"/>
    </row>
    <row r="90" ht="14.25">
      <c r="B90" s="1"/>
    </row>
    <row r="91" ht="14.25">
      <c r="B91" s="1"/>
    </row>
    <row r="92" ht="14.25">
      <c r="B92" s="1"/>
    </row>
    <row r="93" ht="14.25">
      <c r="B93" s="1"/>
    </row>
    <row r="94" ht="14.25">
      <c r="B94" s="1"/>
    </row>
  </sheetData>
  <mergeCells count="3">
    <mergeCell ref="I2:K2"/>
    <mergeCell ref="I3:K6"/>
    <mergeCell ref="B8:K8"/>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5" zoomScale="100" workbookViewId="0">
      <selection activeCell="A1" activeCellId="0" sqref="A1"/>
    </sheetView>
  </sheetViews>
  <sheetFormatPr defaultRowHeight="14.25"/>
  <cols>
    <col bestFit="1" min="1" max="1" width="9.140625"/>
    <col bestFit="1" customWidth="1" min="2" max="2" width="8.12109375"/>
    <col bestFit="1" customWidth="1" min="3" max="3" width="36.78125"/>
    <col bestFit="1" customWidth="1" min="4" max="4" width="14.28125"/>
    <col bestFit="1" customWidth="1" min="5" max="5" width="14.4609375"/>
    <col bestFit="1" customWidth="1" min="6" max="6" width="16.1640625"/>
    <col bestFit="1" customWidth="1" min="7" max="7" width="10.890625"/>
    <col bestFit="1" customWidth="1" min="8" max="9" width="10.7109375"/>
    <col bestFit="1" customWidth="1" min="10" max="10" width="32.671875"/>
  </cols>
  <sheetData>
    <row r="1" ht="30"/>
    <row r="2" ht="30">
      <c r="B2" s="101" t="s">
        <v>17</v>
      </c>
      <c r="C2" s="101" t="s">
        <v>18</v>
      </c>
      <c r="D2" s="101" t="s">
        <v>19</v>
      </c>
      <c r="E2" s="101" t="s">
        <v>20</v>
      </c>
      <c r="F2" s="101" t="s">
        <v>21</v>
      </c>
      <c r="G2" s="101" t="s">
        <v>22</v>
      </c>
      <c r="H2" s="101" t="s">
        <v>23</v>
      </c>
      <c r="I2" s="101" t="s">
        <v>24</v>
      </c>
      <c r="J2" s="101" t="s">
        <v>26</v>
      </c>
    </row>
    <row r="3" ht="30">
      <c r="B3" s="101">
        <v>1</v>
      </c>
      <c r="C3" s="101" t="s">
        <v>168</v>
      </c>
      <c r="D3" s="101" t="s">
        <v>29</v>
      </c>
      <c r="E3" s="101" t="s">
        <v>30</v>
      </c>
      <c r="F3" s="101" t="s">
        <v>29</v>
      </c>
      <c r="G3" s="101" t="s">
        <v>169</v>
      </c>
      <c r="H3" s="102">
        <v>46056</v>
      </c>
      <c r="I3" s="102" t="s">
        <v>170</v>
      </c>
      <c r="J3" s="101" t="s">
        <v>171</v>
      </c>
    </row>
    <row r="4" ht="30">
      <c r="B4" s="103">
        <v>1.1000000000000001</v>
      </c>
      <c r="C4" s="103" t="s">
        <v>172</v>
      </c>
      <c r="D4" s="103" t="s">
        <v>30</v>
      </c>
      <c r="E4" s="103" t="s">
        <v>30</v>
      </c>
      <c r="F4" s="103" t="s">
        <v>29</v>
      </c>
      <c r="G4" s="103" t="s">
        <v>33</v>
      </c>
      <c r="H4" s="104">
        <v>46056</v>
      </c>
      <c r="I4" s="104">
        <v>46176</v>
      </c>
      <c r="J4" s="105"/>
    </row>
    <row r="5" ht="30">
      <c r="B5" s="103">
        <v>1.2</v>
      </c>
      <c r="C5" s="103" t="s">
        <v>173</v>
      </c>
      <c r="D5" s="103" t="s">
        <v>30</v>
      </c>
      <c r="E5" s="103" t="s">
        <v>30</v>
      </c>
      <c r="F5" s="103">
        <v>1.1000000000000001</v>
      </c>
      <c r="G5" s="103" t="s">
        <v>174</v>
      </c>
      <c r="H5" s="104">
        <v>46268</v>
      </c>
      <c r="I5" s="104" t="s">
        <v>170</v>
      </c>
      <c r="J5" s="103" t="s">
        <v>175</v>
      </c>
    </row>
    <row r="6" ht="30">
      <c r="B6" s="103">
        <v>1.3</v>
      </c>
      <c r="C6" s="103" t="s">
        <v>176</v>
      </c>
      <c r="D6" s="103" t="s">
        <v>30</v>
      </c>
      <c r="E6" s="103" t="s">
        <v>30</v>
      </c>
      <c r="F6" s="103">
        <v>7.2999999999999998</v>
      </c>
      <c r="G6" s="103" t="s">
        <v>39</v>
      </c>
      <c r="H6" s="104" t="s">
        <v>177</v>
      </c>
      <c r="I6" s="104" t="s">
        <v>170</v>
      </c>
      <c r="J6" s="105"/>
    </row>
    <row r="7" ht="30">
      <c r="B7" s="101">
        <v>2</v>
      </c>
      <c r="C7" s="101" t="s">
        <v>41</v>
      </c>
      <c r="D7" s="101" t="s">
        <v>29</v>
      </c>
      <c r="E7" s="101" t="s">
        <v>30</v>
      </c>
      <c r="F7" s="101">
        <v>1.1000000000000001</v>
      </c>
      <c r="G7" s="101" t="s">
        <v>119</v>
      </c>
      <c r="H7" s="102">
        <v>46056</v>
      </c>
      <c r="I7" s="102" t="s">
        <v>178</v>
      </c>
      <c r="J7" s="105"/>
    </row>
    <row r="8" ht="30">
      <c r="B8" s="103">
        <v>2.1000000000000001</v>
      </c>
      <c r="C8" s="103" t="s">
        <v>179</v>
      </c>
      <c r="D8" s="103" t="s">
        <v>45</v>
      </c>
      <c r="E8" s="103" t="s">
        <v>30</v>
      </c>
      <c r="F8" s="103">
        <v>1.1000000000000001</v>
      </c>
      <c r="G8" s="103" t="s">
        <v>180</v>
      </c>
      <c r="H8" s="104">
        <v>46056</v>
      </c>
      <c r="I8" s="104">
        <v>46329</v>
      </c>
      <c r="J8" s="103" t="s">
        <v>181</v>
      </c>
    </row>
    <row r="9" ht="30">
      <c r="B9" s="103">
        <v>2.2000000000000002</v>
      </c>
      <c r="C9" s="103" t="s">
        <v>54</v>
      </c>
      <c r="D9" s="103" t="s">
        <v>55</v>
      </c>
      <c r="E9" s="103" t="s">
        <v>30</v>
      </c>
      <c r="F9" s="103">
        <v>2.1000000000000001</v>
      </c>
      <c r="G9" s="103" t="s">
        <v>52</v>
      </c>
      <c r="H9" s="104">
        <v>46359</v>
      </c>
      <c r="I9" s="104" t="s">
        <v>182</v>
      </c>
      <c r="J9" s="105"/>
    </row>
    <row r="10" ht="30">
      <c r="B10" s="103">
        <v>2.2999999999999998</v>
      </c>
      <c r="C10" s="101" t="s">
        <v>183</v>
      </c>
      <c r="D10" s="101" t="s">
        <v>62</v>
      </c>
      <c r="E10" s="101" t="s">
        <v>184</v>
      </c>
      <c r="F10" s="101">
        <v>2.1000000000000001</v>
      </c>
      <c r="G10" s="101" t="s">
        <v>59</v>
      </c>
      <c r="H10" s="102">
        <v>46329</v>
      </c>
      <c r="I10" s="102" t="s">
        <v>185</v>
      </c>
      <c r="J10" s="101" t="s">
        <v>186</v>
      </c>
    </row>
    <row r="11" ht="30">
      <c r="B11" s="103">
        <v>2.3999999999999999</v>
      </c>
      <c r="C11" s="103" t="s">
        <v>187</v>
      </c>
      <c r="D11" s="103" t="s">
        <v>55</v>
      </c>
      <c r="E11" s="103" t="s">
        <v>30</v>
      </c>
      <c r="F11" s="103">
        <v>2.2000000000000002</v>
      </c>
      <c r="G11" s="103" t="s">
        <v>188</v>
      </c>
      <c r="H11" s="104">
        <v>46329</v>
      </c>
      <c r="I11" s="104" t="s">
        <v>189</v>
      </c>
      <c r="J11" s="103" t="s">
        <v>190</v>
      </c>
    </row>
    <row r="12" ht="30">
      <c r="B12" s="103">
        <v>2.5</v>
      </c>
      <c r="C12" s="103" t="s">
        <v>191</v>
      </c>
      <c r="D12" s="103" t="s">
        <v>192</v>
      </c>
      <c r="E12" s="103" t="s">
        <v>30</v>
      </c>
      <c r="F12" s="103">
        <v>2.3999999999999999</v>
      </c>
      <c r="G12" s="103" t="s">
        <v>52</v>
      </c>
      <c r="H12" s="104" t="s">
        <v>193</v>
      </c>
      <c r="I12" s="104" t="s">
        <v>194</v>
      </c>
      <c r="J12" s="101" t="s">
        <v>195</v>
      </c>
    </row>
    <row r="13" ht="30">
      <c r="B13" s="101">
        <v>3</v>
      </c>
      <c r="C13" s="101" t="s">
        <v>196</v>
      </c>
      <c r="D13" s="101" t="s">
        <v>29</v>
      </c>
      <c r="E13" s="101" t="s">
        <v>62</v>
      </c>
      <c r="F13" s="101">
        <v>2.1000000000000001</v>
      </c>
      <c r="G13" s="101" t="s">
        <v>197</v>
      </c>
      <c r="H13" s="102">
        <v>46359</v>
      </c>
      <c r="I13" s="102" t="s">
        <v>198</v>
      </c>
      <c r="J13" s="101" t="s">
        <v>199</v>
      </c>
    </row>
    <row r="14" ht="30">
      <c r="B14" s="103">
        <v>3.1000000000000001</v>
      </c>
      <c r="C14" s="103" t="s">
        <v>83</v>
      </c>
      <c r="D14" s="103" t="s">
        <v>200</v>
      </c>
      <c r="E14" s="103" t="s">
        <v>184</v>
      </c>
      <c r="F14" s="103">
        <v>2.1000000000000001</v>
      </c>
      <c r="G14" s="103" t="s">
        <v>59</v>
      </c>
      <c r="H14" s="104">
        <v>46359</v>
      </c>
      <c r="I14" s="104" t="s">
        <v>201</v>
      </c>
      <c r="J14" s="105"/>
    </row>
    <row r="15" ht="30">
      <c r="B15" s="103">
        <v>3.2000000000000002</v>
      </c>
      <c r="C15" s="103" t="s">
        <v>202</v>
      </c>
      <c r="D15" s="103" t="s">
        <v>203</v>
      </c>
      <c r="E15" s="103" t="s">
        <v>184</v>
      </c>
      <c r="F15" s="103">
        <v>3.1000000000000001</v>
      </c>
      <c r="G15" s="103" t="s">
        <v>204</v>
      </c>
      <c r="H15" s="104" t="s">
        <v>205</v>
      </c>
      <c r="I15" s="104" t="s">
        <v>198</v>
      </c>
      <c r="J15" s="103" t="s">
        <v>206</v>
      </c>
    </row>
    <row r="16" ht="30">
      <c r="B16" s="101">
        <v>4</v>
      </c>
      <c r="C16" s="101" t="s">
        <v>95</v>
      </c>
      <c r="D16" s="101" t="s">
        <v>29</v>
      </c>
      <c r="E16" s="101" t="s">
        <v>62</v>
      </c>
      <c r="F16" s="101" t="s">
        <v>207</v>
      </c>
      <c r="G16" s="101" t="s">
        <v>208</v>
      </c>
      <c r="H16" s="102" t="s">
        <v>209</v>
      </c>
      <c r="I16" s="102" t="s">
        <v>210</v>
      </c>
      <c r="J16" s="101" t="s">
        <v>211</v>
      </c>
    </row>
    <row r="17" ht="30">
      <c r="B17" s="103">
        <v>4.0999999999999996</v>
      </c>
      <c r="C17" s="101" t="s">
        <v>212</v>
      </c>
      <c r="D17" s="101" t="s">
        <v>213</v>
      </c>
      <c r="E17" s="101" t="s">
        <v>184</v>
      </c>
      <c r="F17" s="101">
        <v>2.2999999999999998</v>
      </c>
      <c r="G17" s="101" t="s">
        <v>204</v>
      </c>
      <c r="H17" s="102" t="s">
        <v>209</v>
      </c>
      <c r="I17" s="102" t="s">
        <v>214</v>
      </c>
      <c r="J17" s="103" t="s">
        <v>215</v>
      </c>
    </row>
    <row r="18" ht="30">
      <c r="B18" s="103" t="s">
        <v>98</v>
      </c>
      <c r="C18" s="103" t="s">
        <v>216</v>
      </c>
      <c r="D18" s="103" t="s">
        <v>213</v>
      </c>
      <c r="E18" s="103" t="s">
        <v>184</v>
      </c>
      <c r="F18" s="103">
        <v>4.0999999999999996</v>
      </c>
      <c r="G18" s="103" t="s">
        <v>188</v>
      </c>
      <c r="H18" s="104" t="s">
        <v>209</v>
      </c>
      <c r="I18" s="104" t="s">
        <v>217</v>
      </c>
      <c r="J18" s="105"/>
    </row>
    <row r="19" ht="30">
      <c r="B19" s="103" t="s">
        <v>100</v>
      </c>
      <c r="C19" s="103" t="s">
        <v>218</v>
      </c>
      <c r="D19" s="103" t="s">
        <v>213</v>
      </c>
      <c r="E19" s="103" t="s">
        <v>184</v>
      </c>
      <c r="F19" s="103" t="s">
        <v>98</v>
      </c>
      <c r="G19" s="103" t="s">
        <v>188</v>
      </c>
      <c r="H19" s="104">
        <v>46117</v>
      </c>
      <c r="I19" s="104" t="s">
        <v>214</v>
      </c>
      <c r="J19" s="103" t="s">
        <v>219</v>
      </c>
    </row>
    <row r="20" ht="15">
      <c r="B20" s="103">
        <v>4.2000000000000002</v>
      </c>
      <c r="C20" s="101" t="s">
        <v>220</v>
      </c>
      <c r="D20" s="101" t="s">
        <v>221</v>
      </c>
      <c r="E20" s="101" t="s">
        <v>184</v>
      </c>
      <c r="F20" s="101">
        <v>2.5</v>
      </c>
      <c r="G20" s="101" t="s">
        <v>204</v>
      </c>
      <c r="H20" s="102" t="s">
        <v>209</v>
      </c>
      <c r="I20" s="102" t="s">
        <v>214</v>
      </c>
      <c r="J20" s="103" t="s">
        <v>215</v>
      </c>
    </row>
    <row r="21" ht="15">
      <c r="B21" s="103" t="s">
        <v>108</v>
      </c>
      <c r="C21" s="103" t="s">
        <v>222</v>
      </c>
      <c r="D21" s="103" t="s">
        <v>221</v>
      </c>
      <c r="E21" s="103" t="s">
        <v>184</v>
      </c>
      <c r="F21" s="103">
        <v>2.5</v>
      </c>
      <c r="G21" s="103" t="s">
        <v>188</v>
      </c>
      <c r="H21" s="104" t="s">
        <v>209</v>
      </c>
      <c r="I21" s="104" t="s">
        <v>217</v>
      </c>
      <c r="J21" s="105"/>
    </row>
    <row r="22" ht="15">
      <c r="B22" s="103" t="s">
        <v>111</v>
      </c>
      <c r="C22" s="103" t="s">
        <v>223</v>
      </c>
      <c r="D22" s="103" t="s">
        <v>221</v>
      </c>
      <c r="E22" s="103" t="s">
        <v>184</v>
      </c>
      <c r="F22" s="103" t="s">
        <v>108</v>
      </c>
      <c r="G22" s="103" t="s">
        <v>188</v>
      </c>
      <c r="H22" s="104">
        <v>46117</v>
      </c>
      <c r="I22" s="104" t="s">
        <v>214</v>
      </c>
      <c r="J22" s="105"/>
    </row>
    <row r="23" ht="15">
      <c r="B23" s="103">
        <v>4.2999999999999998</v>
      </c>
      <c r="C23" s="101" t="s">
        <v>224</v>
      </c>
      <c r="D23" s="101" t="s">
        <v>203</v>
      </c>
      <c r="E23" s="101" t="s">
        <v>184</v>
      </c>
      <c r="F23" s="101" t="s">
        <v>225</v>
      </c>
      <c r="G23" s="101" t="s">
        <v>188</v>
      </c>
      <c r="H23" s="102" t="s">
        <v>226</v>
      </c>
      <c r="I23" s="102" t="s">
        <v>210</v>
      </c>
      <c r="J23" s="101" t="s">
        <v>227</v>
      </c>
    </row>
    <row r="24" ht="15">
      <c r="B24" s="101">
        <v>5</v>
      </c>
      <c r="C24" s="101" t="s">
        <v>118</v>
      </c>
      <c r="D24" s="101" t="s">
        <v>29</v>
      </c>
      <c r="E24" s="101" t="s">
        <v>62</v>
      </c>
      <c r="F24" s="101">
        <v>2.2999999999999998</v>
      </c>
      <c r="G24" s="101" t="s">
        <v>228</v>
      </c>
      <c r="H24" s="102" t="s">
        <v>182</v>
      </c>
      <c r="I24" s="102" t="s">
        <v>210</v>
      </c>
      <c r="J24" s="101" t="s">
        <v>229</v>
      </c>
    </row>
    <row r="25" ht="15">
      <c r="B25" s="103">
        <v>5.0999999999999996</v>
      </c>
      <c r="C25" s="103" t="s">
        <v>230</v>
      </c>
      <c r="D25" s="103" t="s">
        <v>231</v>
      </c>
      <c r="E25" s="103" t="s">
        <v>184</v>
      </c>
      <c r="F25" s="103">
        <v>2.2999999999999998</v>
      </c>
      <c r="G25" s="103" t="s">
        <v>188</v>
      </c>
      <c r="H25" s="104" t="s">
        <v>182</v>
      </c>
      <c r="I25" s="104" t="s">
        <v>194</v>
      </c>
      <c r="J25" s="101" t="s">
        <v>232</v>
      </c>
    </row>
    <row r="26" ht="15">
      <c r="B26" s="103">
        <v>5.2000000000000002</v>
      </c>
      <c r="C26" s="103" t="s">
        <v>126</v>
      </c>
      <c r="D26" s="103" t="s">
        <v>231</v>
      </c>
      <c r="E26" s="103" t="s">
        <v>184</v>
      </c>
      <c r="F26" s="103">
        <v>4.2999999999999998</v>
      </c>
      <c r="G26" s="103" t="s">
        <v>59</v>
      </c>
      <c r="H26" s="104" t="s">
        <v>226</v>
      </c>
      <c r="I26" s="104" t="s">
        <v>233</v>
      </c>
      <c r="J26" s="103" t="s">
        <v>234</v>
      </c>
    </row>
    <row r="27" ht="15">
      <c r="B27" s="103">
        <v>5.2999999999999998</v>
      </c>
      <c r="C27" s="103" t="s">
        <v>235</v>
      </c>
      <c r="D27" s="103" t="s">
        <v>231</v>
      </c>
      <c r="E27" s="103" t="s">
        <v>184</v>
      </c>
      <c r="F27" s="103">
        <v>5.2000000000000002</v>
      </c>
      <c r="G27" s="103" t="s">
        <v>59</v>
      </c>
      <c r="H27" s="104" t="s">
        <v>236</v>
      </c>
      <c r="I27" s="104" t="s">
        <v>210</v>
      </c>
      <c r="J27" s="103" t="s">
        <v>237</v>
      </c>
    </row>
    <row r="28" ht="15">
      <c r="B28" s="101">
        <v>6</v>
      </c>
      <c r="C28" s="101" t="s">
        <v>238</v>
      </c>
      <c r="D28" s="101" t="s">
        <v>29</v>
      </c>
      <c r="E28" s="101" t="s">
        <v>30</v>
      </c>
      <c r="F28" s="101">
        <v>4.2999999999999998</v>
      </c>
      <c r="G28" s="101" t="s">
        <v>228</v>
      </c>
      <c r="H28" s="102">
        <v>46329</v>
      </c>
      <c r="I28" s="102">
        <v>46362</v>
      </c>
      <c r="J28" s="105"/>
    </row>
    <row r="29" ht="15">
      <c r="B29" s="103">
        <v>6.0999999999999996</v>
      </c>
      <c r="C29" s="103" t="s">
        <v>239</v>
      </c>
      <c r="D29" s="103" t="s">
        <v>134</v>
      </c>
      <c r="E29" s="103" t="s">
        <v>30</v>
      </c>
      <c r="F29" s="103">
        <v>2.1000000000000001</v>
      </c>
      <c r="G29" s="103" t="s">
        <v>204</v>
      </c>
      <c r="H29" s="104">
        <v>46329</v>
      </c>
      <c r="I29" s="104">
        <v>46207</v>
      </c>
      <c r="J29" s="103" t="s">
        <v>240</v>
      </c>
    </row>
    <row r="30" ht="15">
      <c r="B30" s="103">
        <v>6.2000000000000002</v>
      </c>
      <c r="C30" s="103" t="s">
        <v>140</v>
      </c>
      <c r="D30" s="103" t="s">
        <v>134</v>
      </c>
      <c r="E30" s="103" t="s">
        <v>30</v>
      </c>
      <c r="F30" s="103">
        <v>4.2999999999999998</v>
      </c>
      <c r="G30" s="103" t="s">
        <v>59</v>
      </c>
      <c r="H30" s="104">
        <v>46028</v>
      </c>
      <c r="I30" s="104">
        <v>46148</v>
      </c>
      <c r="J30" s="103" t="s">
        <v>241</v>
      </c>
    </row>
    <row r="31" ht="15">
      <c r="B31" s="103">
        <v>6.2999999999999998</v>
      </c>
      <c r="C31" s="103" t="s">
        <v>242</v>
      </c>
      <c r="D31" s="103" t="s">
        <v>231</v>
      </c>
      <c r="E31" s="103" t="s">
        <v>184</v>
      </c>
      <c r="F31" s="103">
        <v>6.2000000000000002</v>
      </c>
      <c r="G31" s="103" t="s">
        <v>148</v>
      </c>
      <c r="H31" s="104">
        <v>46148</v>
      </c>
      <c r="I31" s="104">
        <v>46148</v>
      </c>
      <c r="J31" s="105"/>
    </row>
    <row r="32" ht="15">
      <c r="B32" s="103">
        <v>6.4000000000000004</v>
      </c>
      <c r="C32" s="103" t="s">
        <v>150</v>
      </c>
      <c r="D32" s="103" t="s">
        <v>192</v>
      </c>
      <c r="E32" s="103" t="s">
        <v>30</v>
      </c>
      <c r="F32" s="103">
        <v>6.2999999999999998</v>
      </c>
      <c r="G32" s="103" t="s">
        <v>59</v>
      </c>
      <c r="H32" s="104">
        <v>46240</v>
      </c>
      <c r="I32" s="104">
        <v>46362</v>
      </c>
      <c r="J32" s="103" t="s">
        <v>243</v>
      </c>
    </row>
    <row r="33" ht="15">
      <c r="B33" s="103">
        <v>6.5</v>
      </c>
      <c r="C33" s="103" t="s">
        <v>244</v>
      </c>
      <c r="D33" s="103" t="s">
        <v>203</v>
      </c>
      <c r="E33" s="103" t="s">
        <v>184</v>
      </c>
      <c r="F33" s="103">
        <v>6.4000000000000004</v>
      </c>
      <c r="G33" s="103" t="s">
        <v>59</v>
      </c>
      <c r="H33" s="104">
        <v>46240</v>
      </c>
      <c r="I33" s="104">
        <v>46362</v>
      </c>
      <c r="J33" s="103" t="s">
        <v>245</v>
      </c>
    </row>
    <row r="34" ht="15">
      <c r="B34" s="101">
        <v>7</v>
      </c>
      <c r="C34" s="101" t="s">
        <v>246</v>
      </c>
      <c r="D34" s="101" t="s">
        <v>29</v>
      </c>
      <c r="E34" s="101" t="s">
        <v>30</v>
      </c>
      <c r="F34" s="101" t="s">
        <v>247</v>
      </c>
      <c r="G34" s="101" t="s">
        <v>59</v>
      </c>
      <c r="H34" s="102" t="s">
        <v>248</v>
      </c>
      <c r="I34" s="102" t="s">
        <v>170</v>
      </c>
      <c r="J34" s="105"/>
    </row>
    <row r="35" ht="15">
      <c r="B35" s="103">
        <v>7.0999999999999996</v>
      </c>
      <c r="C35" s="103" t="s">
        <v>249</v>
      </c>
      <c r="D35" s="103" t="s">
        <v>231</v>
      </c>
      <c r="E35" s="103" t="s">
        <v>184</v>
      </c>
      <c r="F35" s="103">
        <v>6.5</v>
      </c>
      <c r="G35" s="103" t="s">
        <v>158</v>
      </c>
      <c r="H35" s="104" t="s">
        <v>248</v>
      </c>
      <c r="I35" s="104" t="s">
        <v>248</v>
      </c>
      <c r="J35" s="105"/>
    </row>
    <row r="36" ht="15">
      <c r="B36" s="103">
        <v>7.2000000000000002</v>
      </c>
      <c r="C36" s="103" t="s">
        <v>250</v>
      </c>
      <c r="D36" s="103" t="s">
        <v>134</v>
      </c>
      <c r="E36" s="103" t="s">
        <v>30</v>
      </c>
      <c r="F36" s="103">
        <v>7.0999999999999996</v>
      </c>
      <c r="G36" s="103" t="s">
        <v>39</v>
      </c>
      <c r="H36" s="104" t="s">
        <v>251</v>
      </c>
      <c r="I36" s="104" t="s">
        <v>252</v>
      </c>
      <c r="J36" s="103" t="s">
        <v>253</v>
      </c>
    </row>
    <row r="37" ht="15">
      <c r="B37" s="103">
        <v>7.2999999999999998</v>
      </c>
      <c r="C37" s="103" t="s">
        <v>176</v>
      </c>
      <c r="D37" s="103" t="s">
        <v>30</v>
      </c>
      <c r="E37" s="103" t="s">
        <v>30</v>
      </c>
      <c r="F37" s="103">
        <v>7.2000000000000002</v>
      </c>
      <c r="G37" s="103" t="s">
        <v>39</v>
      </c>
      <c r="H37" s="104" t="s">
        <v>177</v>
      </c>
      <c r="I37" s="104" t="s">
        <v>170</v>
      </c>
      <c r="J37" s="103" t="s">
        <v>254</v>
      </c>
    </row>
    <row r="42" ht="30">
      <c r="B42" s="101" t="s">
        <v>17</v>
      </c>
      <c r="C42" s="101" t="s">
        <v>18</v>
      </c>
      <c r="D42" s="101" t="s">
        <v>19</v>
      </c>
      <c r="E42" s="101" t="s">
        <v>21</v>
      </c>
      <c r="F42" s="101" t="s">
        <v>22</v>
      </c>
      <c r="G42" s="101" t="s">
        <v>23</v>
      </c>
      <c r="H42" s="101" t="s">
        <v>24</v>
      </c>
    </row>
    <row r="43" ht="15">
      <c r="B43" s="101">
        <v>1</v>
      </c>
      <c r="C43" s="101" t="s">
        <v>168</v>
      </c>
      <c r="D43" s="101" t="s">
        <v>30</v>
      </c>
      <c r="E43" s="101" t="s">
        <v>29</v>
      </c>
      <c r="F43" s="101" t="s">
        <v>255</v>
      </c>
      <c r="G43" s="102">
        <v>46056</v>
      </c>
      <c r="H43" s="102">
        <v>46148</v>
      </c>
    </row>
    <row r="44" ht="15">
      <c r="B44" s="103">
        <v>1.1000000000000001</v>
      </c>
      <c r="C44" s="103" t="s">
        <v>172</v>
      </c>
      <c r="D44" s="103" t="s">
        <v>30</v>
      </c>
      <c r="E44" s="103" t="s">
        <v>29</v>
      </c>
      <c r="F44" s="103" t="s">
        <v>33</v>
      </c>
      <c r="G44" s="104">
        <v>46056</v>
      </c>
      <c r="H44" s="104">
        <v>46176</v>
      </c>
    </row>
    <row r="45" ht="30">
      <c r="B45" s="103">
        <v>1.2</v>
      </c>
      <c r="C45" s="103" t="s">
        <v>173</v>
      </c>
      <c r="D45" s="103" t="s">
        <v>30</v>
      </c>
      <c r="E45" s="103">
        <v>1.1000000000000001</v>
      </c>
      <c r="F45" s="103" t="s">
        <v>256</v>
      </c>
      <c r="G45" s="104">
        <v>46268</v>
      </c>
      <c r="H45" s="104">
        <v>46148</v>
      </c>
    </row>
    <row r="46" ht="15">
      <c r="B46" s="103">
        <v>1.3</v>
      </c>
      <c r="C46" s="103" t="s">
        <v>176</v>
      </c>
      <c r="D46" s="103" t="s">
        <v>30</v>
      </c>
      <c r="E46" s="103">
        <v>7.2000000000000002</v>
      </c>
      <c r="F46" s="103" t="s">
        <v>39</v>
      </c>
      <c r="G46" s="104">
        <v>46118</v>
      </c>
      <c r="H46" s="104">
        <v>46148</v>
      </c>
    </row>
    <row r="47" ht="15">
      <c r="B47" s="101">
        <v>2</v>
      </c>
      <c r="C47" s="101" t="s">
        <v>41</v>
      </c>
      <c r="D47" s="101" t="s">
        <v>29</v>
      </c>
      <c r="E47" s="101">
        <v>1.1000000000000001</v>
      </c>
      <c r="F47" s="101" t="s">
        <v>138</v>
      </c>
      <c r="G47" s="102">
        <v>46056</v>
      </c>
      <c r="H47" s="102" t="s">
        <v>178</v>
      </c>
    </row>
    <row r="48" ht="15">
      <c r="B48" s="103">
        <v>2.1000000000000001</v>
      </c>
      <c r="C48" s="103" t="s">
        <v>179</v>
      </c>
      <c r="D48" s="103" t="s">
        <v>257</v>
      </c>
      <c r="E48" s="103">
        <v>1.1000000000000001</v>
      </c>
      <c r="F48" s="103" t="s">
        <v>59</v>
      </c>
      <c r="G48" s="104">
        <v>46056</v>
      </c>
      <c r="H48" s="104">
        <v>46176</v>
      </c>
    </row>
    <row r="49" ht="30">
      <c r="B49" s="103">
        <v>2.2000000000000002</v>
      </c>
      <c r="C49" s="103" t="s">
        <v>258</v>
      </c>
      <c r="D49" s="103" t="s">
        <v>257</v>
      </c>
      <c r="E49" s="103">
        <v>2.1000000000000001</v>
      </c>
      <c r="F49" s="103" t="s">
        <v>39</v>
      </c>
      <c r="G49" s="104">
        <v>46268</v>
      </c>
      <c r="H49" s="104">
        <v>46298</v>
      </c>
    </row>
    <row r="50" ht="30">
      <c r="B50" s="103">
        <v>2.2999999999999998</v>
      </c>
      <c r="C50" s="101" t="s">
        <v>259</v>
      </c>
      <c r="D50" s="101" t="s">
        <v>62</v>
      </c>
      <c r="E50" s="101">
        <v>2.2000000000000002</v>
      </c>
      <c r="F50" s="101" t="s">
        <v>59</v>
      </c>
      <c r="G50" s="102">
        <v>46329</v>
      </c>
      <c r="H50" s="102" t="s">
        <v>185</v>
      </c>
    </row>
    <row r="51" ht="15">
      <c r="B51" s="103" t="s">
        <v>60</v>
      </c>
      <c r="C51" s="103" t="s">
        <v>260</v>
      </c>
      <c r="D51" s="103" t="s">
        <v>62</v>
      </c>
      <c r="E51" s="103">
        <v>2.2000000000000002</v>
      </c>
      <c r="F51" s="103" t="s">
        <v>52</v>
      </c>
      <c r="G51" s="104">
        <v>46329</v>
      </c>
      <c r="H51" s="104" t="s">
        <v>261</v>
      </c>
    </row>
    <row r="52" ht="15">
      <c r="B52" s="103" t="s">
        <v>63</v>
      </c>
      <c r="C52" s="103" t="s">
        <v>262</v>
      </c>
      <c r="D52" s="103" t="s">
        <v>62</v>
      </c>
      <c r="E52" s="103" t="s">
        <v>60</v>
      </c>
      <c r="F52" s="103" t="s">
        <v>39</v>
      </c>
      <c r="G52" s="104" t="s">
        <v>182</v>
      </c>
      <c r="H52" s="104" t="s">
        <v>185</v>
      </c>
    </row>
    <row r="53" ht="15">
      <c r="B53" s="103">
        <v>2.3999999999999999</v>
      </c>
      <c r="C53" s="101" t="s">
        <v>66</v>
      </c>
      <c r="D53" s="101" t="s">
        <v>55</v>
      </c>
      <c r="E53" s="101">
        <v>2.2000000000000002</v>
      </c>
      <c r="F53" s="101" t="s">
        <v>188</v>
      </c>
      <c r="G53" s="102">
        <v>46329</v>
      </c>
      <c r="H53" s="102" t="s">
        <v>189</v>
      </c>
    </row>
    <row r="54" ht="15">
      <c r="B54" s="103" t="s">
        <v>68</v>
      </c>
      <c r="C54" s="103" t="s">
        <v>263</v>
      </c>
      <c r="D54" s="103" t="s">
        <v>55</v>
      </c>
      <c r="E54" s="103">
        <v>2.2000000000000002</v>
      </c>
      <c r="F54" s="103" t="s">
        <v>52</v>
      </c>
      <c r="G54" s="104">
        <v>46329</v>
      </c>
      <c r="H54" s="104" t="s">
        <v>261</v>
      </c>
    </row>
    <row r="55" ht="15">
      <c r="B55" s="103" t="s">
        <v>71</v>
      </c>
      <c r="C55" s="103" t="s">
        <v>264</v>
      </c>
      <c r="D55" s="103" t="s">
        <v>55</v>
      </c>
      <c r="E55" s="103" t="s">
        <v>68</v>
      </c>
      <c r="F55" s="103" t="s">
        <v>59</v>
      </c>
      <c r="G55" s="104" t="s">
        <v>182</v>
      </c>
      <c r="H55" s="104" t="s">
        <v>178</v>
      </c>
    </row>
    <row r="56" ht="15">
      <c r="B56" s="103" t="s">
        <v>74</v>
      </c>
      <c r="C56" s="103" t="s">
        <v>191</v>
      </c>
      <c r="D56" s="103" t="s">
        <v>192</v>
      </c>
      <c r="E56" s="103" t="s">
        <v>71</v>
      </c>
      <c r="F56" s="103" t="s">
        <v>39</v>
      </c>
      <c r="G56" s="104" t="s">
        <v>265</v>
      </c>
      <c r="H56" s="104" t="s">
        <v>189</v>
      </c>
    </row>
    <row r="57" ht="15">
      <c r="B57" s="101">
        <v>3</v>
      </c>
      <c r="C57" s="101" t="s">
        <v>196</v>
      </c>
      <c r="D57" s="101" t="s">
        <v>29</v>
      </c>
      <c r="E57" s="101">
        <v>2.2000000000000002</v>
      </c>
      <c r="F57" s="101" t="s">
        <v>266</v>
      </c>
      <c r="G57" s="102">
        <v>46329</v>
      </c>
      <c r="H57" s="102" t="s">
        <v>267</v>
      </c>
    </row>
    <row r="58" ht="15">
      <c r="B58" s="103">
        <v>3.1000000000000001</v>
      </c>
      <c r="C58" s="103" t="s">
        <v>83</v>
      </c>
      <c r="D58" s="103" t="s">
        <v>268</v>
      </c>
      <c r="E58" s="103">
        <v>2.2000000000000002</v>
      </c>
      <c r="F58" s="103" t="s">
        <v>59</v>
      </c>
      <c r="G58" s="104">
        <v>46329</v>
      </c>
      <c r="H58" s="104" t="s">
        <v>185</v>
      </c>
    </row>
    <row r="59" ht="15">
      <c r="B59" s="103">
        <v>3.2000000000000002</v>
      </c>
      <c r="C59" s="103" t="s">
        <v>202</v>
      </c>
      <c r="D59" s="103" t="s">
        <v>203</v>
      </c>
      <c r="E59" s="103">
        <v>3.1000000000000001</v>
      </c>
      <c r="F59" s="103" t="s">
        <v>204</v>
      </c>
      <c r="G59" s="104" t="s">
        <v>201</v>
      </c>
      <c r="H59" s="104" t="s">
        <v>267</v>
      </c>
    </row>
    <row r="60" ht="15">
      <c r="B60" s="101">
        <v>4</v>
      </c>
      <c r="C60" s="101" t="s">
        <v>95</v>
      </c>
      <c r="D60" s="101" t="s">
        <v>29</v>
      </c>
      <c r="E60" s="101" t="s">
        <v>269</v>
      </c>
      <c r="F60" s="101" t="s">
        <v>270</v>
      </c>
      <c r="G60" s="102" t="s">
        <v>201</v>
      </c>
      <c r="H60" s="102" t="s">
        <v>233</v>
      </c>
    </row>
    <row r="61" ht="15">
      <c r="B61" s="103">
        <v>4.0999999999999996</v>
      </c>
      <c r="C61" s="101" t="s">
        <v>271</v>
      </c>
      <c r="D61" s="101" t="s">
        <v>213</v>
      </c>
      <c r="E61" s="101" t="s">
        <v>60</v>
      </c>
      <c r="F61" s="101" t="s">
        <v>266</v>
      </c>
      <c r="G61" s="102" t="s">
        <v>201</v>
      </c>
      <c r="H61" s="102" t="s">
        <v>217</v>
      </c>
    </row>
    <row r="62" ht="15">
      <c r="B62" s="103" t="s">
        <v>98</v>
      </c>
      <c r="C62" s="103" t="s">
        <v>272</v>
      </c>
      <c r="D62" s="103" t="s">
        <v>213</v>
      </c>
      <c r="E62" s="103" t="s">
        <v>60</v>
      </c>
      <c r="F62" s="103" t="s">
        <v>59</v>
      </c>
      <c r="G62" s="104" t="s">
        <v>201</v>
      </c>
      <c r="H62" s="104" t="s">
        <v>189</v>
      </c>
    </row>
    <row r="63" ht="15">
      <c r="B63" s="103" t="s">
        <v>100</v>
      </c>
      <c r="C63" s="103" t="s">
        <v>273</v>
      </c>
      <c r="D63" s="103" t="s">
        <v>213</v>
      </c>
      <c r="E63" s="103" t="s">
        <v>98</v>
      </c>
      <c r="F63" s="103" t="s">
        <v>59</v>
      </c>
      <c r="G63" s="104" t="s">
        <v>193</v>
      </c>
      <c r="H63" s="104" t="s">
        <v>274</v>
      </c>
    </row>
    <row r="64" ht="15">
      <c r="B64" s="103" t="s">
        <v>102</v>
      </c>
      <c r="C64" s="103" t="s">
        <v>103</v>
      </c>
      <c r="D64" s="103" t="s">
        <v>213</v>
      </c>
      <c r="E64" s="103" t="s">
        <v>100</v>
      </c>
      <c r="F64" s="103" t="s">
        <v>188</v>
      </c>
      <c r="G64" s="104">
        <v>46026</v>
      </c>
      <c r="H64" s="104" t="s">
        <v>267</v>
      </c>
    </row>
    <row r="65" ht="14.25">
      <c r="B65" s="103" t="s">
        <v>104</v>
      </c>
      <c r="C65" s="103" t="s">
        <v>275</v>
      </c>
      <c r="D65" s="103" t="s">
        <v>213</v>
      </c>
      <c r="E65" s="103" t="s">
        <v>102</v>
      </c>
      <c r="F65" s="103" t="s">
        <v>180</v>
      </c>
      <c r="G65" s="104" t="s">
        <v>198</v>
      </c>
      <c r="H65" s="104" t="s">
        <v>217</v>
      </c>
    </row>
    <row r="66" ht="14.25">
      <c r="B66" s="101">
        <v>4.2000000000000002</v>
      </c>
      <c r="C66" s="101" t="s">
        <v>276</v>
      </c>
      <c r="D66" s="101" t="s">
        <v>29</v>
      </c>
      <c r="E66" s="101" t="s">
        <v>29</v>
      </c>
      <c r="F66" s="101" t="s">
        <v>59</v>
      </c>
      <c r="G66" s="102" t="s">
        <v>277</v>
      </c>
      <c r="H66" s="102">
        <v>46027</v>
      </c>
    </row>
    <row r="67" ht="14.25">
      <c r="B67" s="103">
        <v>4.2999999999999998</v>
      </c>
      <c r="C67" s="101" t="s">
        <v>278</v>
      </c>
      <c r="D67" s="101" t="s">
        <v>221</v>
      </c>
      <c r="E67" s="101" t="s">
        <v>74</v>
      </c>
      <c r="F67" s="101" t="s">
        <v>279</v>
      </c>
      <c r="G67" s="102" t="s">
        <v>193</v>
      </c>
      <c r="H67" s="102" t="s">
        <v>214</v>
      </c>
    </row>
    <row r="68" ht="14.25">
      <c r="B68" s="103" t="s">
        <v>280</v>
      </c>
      <c r="C68" s="103" t="s">
        <v>281</v>
      </c>
      <c r="D68" s="103" t="s">
        <v>221</v>
      </c>
      <c r="E68" s="103" t="s">
        <v>74</v>
      </c>
      <c r="F68" s="103" t="s">
        <v>188</v>
      </c>
      <c r="G68" s="104" t="s">
        <v>193</v>
      </c>
      <c r="H68" s="104">
        <v>46207</v>
      </c>
    </row>
    <row r="69" ht="14.25">
      <c r="B69" s="103" t="s">
        <v>282</v>
      </c>
      <c r="C69" s="103" t="s">
        <v>283</v>
      </c>
      <c r="D69" s="103" t="s">
        <v>221</v>
      </c>
      <c r="E69" s="103" t="s">
        <v>280</v>
      </c>
      <c r="F69" s="103" t="s">
        <v>188</v>
      </c>
      <c r="G69" s="104">
        <v>46238</v>
      </c>
      <c r="H69" s="104" t="s">
        <v>217</v>
      </c>
    </row>
    <row r="70" ht="14.25">
      <c r="B70" s="103" t="s">
        <v>284</v>
      </c>
      <c r="C70" s="103" t="s">
        <v>285</v>
      </c>
      <c r="D70" s="103" t="s">
        <v>221</v>
      </c>
      <c r="E70" s="103" t="s">
        <v>282</v>
      </c>
      <c r="F70" s="103" t="s">
        <v>188</v>
      </c>
      <c r="G70" s="104">
        <v>46117</v>
      </c>
      <c r="H70" s="104" t="s">
        <v>214</v>
      </c>
    </row>
    <row r="71" ht="14.25">
      <c r="B71" s="103">
        <v>4.4000000000000004</v>
      </c>
      <c r="C71" s="101" t="s">
        <v>286</v>
      </c>
      <c r="D71" s="101" t="s">
        <v>203</v>
      </c>
      <c r="E71" s="101" t="s">
        <v>287</v>
      </c>
      <c r="F71" s="101" t="s">
        <v>59</v>
      </c>
      <c r="G71" s="102" t="s">
        <v>226</v>
      </c>
      <c r="H71" s="102" t="s">
        <v>233</v>
      </c>
    </row>
    <row r="72" ht="14.25">
      <c r="B72" s="101">
        <v>5</v>
      </c>
      <c r="C72" s="101" t="s">
        <v>118</v>
      </c>
      <c r="D72" s="101" t="s">
        <v>29</v>
      </c>
      <c r="E72" s="101" t="s">
        <v>63</v>
      </c>
      <c r="F72" s="101" t="s">
        <v>288</v>
      </c>
      <c r="G72" s="102" t="s">
        <v>201</v>
      </c>
      <c r="H72" s="102" t="s">
        <v>233</v>
      </c>
    </row>
    <row r="73" ht="14.25">
      <c r="B73" s="103">
        <v>5.0999999999999996</v>
      </c>
      <c r="C73" s="103" t="s">
        <v>230</v>
      </c>
      <c r="D73" s="103" t="s">
        <v>231</v>
      </c>
      <c r="E73" s="103" t="s">
        <v>63</v>
      </c>
      <c r="F73" s="103" t="s">
        <v>188</v>
      </c>
      <c r="G73" s="104" t="s">
        <v>201</v>
      </c>
      <c r="H73" s="104" t="s">
        <v>274</v>
      </c>
    </row>
    <row r="74" ht="14.25">
      <c r="B74" s="103">
        <v>5.2000000000000002</v>
      </c>
      <c r="C74" s="103" t="s">
        <v>126</v>
      </c>
      <c r="D74" s="103" t="s">
        <v>231</v>
      </c>
      <c r="E74" s="103">
        <v>4.4000000000000004</v>
      </c>
      <c r="F74" s="103" t="s">
        <v>59</v>
      </c>
      <c r="G74" s="104">
        <v>46331</v>
      </c>
      <c r="H74" s="104" t="s">
        <v>214</v>
      </c>
    </row>
    <row r="75" ht="14.25">
      <c r="B75" s="103">
        <v>5.2999999999999998</v>
      </c>
      <c r="C75" s="103" t="s">
        <v>235</v>
      </c>
      <c r="D75" s="103" t="s">
        <v>231</v>
      </c>
      <c r="E75" s="103">
        <v>5.2000000000000002</v>
      </c>
      <c r="F75" s="103" t="s">
        <v>59</v>
      </c>
      <c r="G75" s="104" t="s">
        <v>226</v>
      </c>
      <c r="H75" s="104" t="s">
        <v>233</v>
      </c>
    </row>
    <row r="76" ht="14.25">
      <c r="B76" s="101">
        <v>6</v>
      </c>
      <c r="C76" s="101" t="s">
        <v>238</v>
      </c>
      <c r="D76" s="101" t="s">
        <v>134</v>
      </c>
      <c r="E76" s="101">
        <v>4.4000000000000004</v>
      </c>
      <c r="F76" s="101" t="s">
        <v>188</v>
      </c>
      <c r="G76" s="102">
        <v>46329</v>
      </c>
      <c r="H76" s="102">
        <v>46148</v>
      </c>
    </row>
    <row r="77" ht="14.25">
      <c r="B77" s="103">
        <v>6.0999999999999996</v>
      </c>
      <c r="C77" s="103" t="s">
        <v>239</v>
      </c>
      <c r="D77" s="103" t="s">
        <v>134</v>
      </c>
      <c r="E77" s="103">
        <v>2.2000000000000002</v>
      </c>
      <c r="F77" s="103" t="s">
        <v>204</v>
      </c>
      <c r="G77" s="104">
        <v>46329</v>
      </c>
      <c r="H77" s="104">
        <v>46207</v>
      </c>
    </row>
    <row r="78" ht="14.25">
      <c r="B78" s="103">
        <v>6.2000000000000002</v>
      </c>
      <c r="C78" s="103" t="s">
        <v>140</v>
      </c>
      <c r="D78" s="103" t="s">
        <v>134</v>
      </c>
      <c r="E78" s="103">
        <v>4.4000000000000004</v>
      </c>
      <c r="F78" s="103" t="s">
        <v>289</v>
      </c>
      <c r="G78" s="104" t="s">
        <v>236</v>
      </c>
      <c r="H78" s="104" t="s">
        <v>290</v>
      </c>
    </row>
    <row r="79" ht="14.25">
      <c r="B79" s="103">
        <v>6.2999999999999998</v>
      </c>
      <c r="C79" s="103" t="s">
        <v>291</v>
      </c>
      <c r="D79" s="103" t="s">
        <v>231</v>
      </c>
      <c r="E79" s="103">
        <v>6.2000000000000002</v>
      </c>
      <c r="F79" s="103" t="s">
        <v>158</v>
      </c>
      <c r="G79" s="104" t="s">
        <v>210</v>
      </c>
      <c r="H79" s="104" t="s">
        <v>210</v>
      </c>
    </row>
    <row r="80" ht="14.25">
      <c r="B80" s="103">
        <v>6.4000000000000004</v>
      </c>
      <c r="C80" s="103" t="s">
        <v>150</v>
      </c>
      <c r="D80" s="103" t="s">
        <v>192</v>
      </c>
      <c r="E80" s="103">
        <v>6.2999999999999998</v>
      </c>
      <c r="F80" s="103" t="s">
        <v>52</v>
      </c>
      <c r="G80" s="104">
        <v>46028</v>
      </c>
      <c r="H80" s="104">
        <v>46087</v>
      </c>
    </row>
    <row r="81" ht="14.25">
      <c r="B81" s="103">
        <v>6.5</v>
      </c>
      <c r="C81" s="103" t="s">
        <v>153</v>
      </c>
      <c r="D81" s="103" t="s">
        <v>203</v>
      </c>
      <c r="E81" s="103">
        <v>6.4000000000000004</v>
      </c>
      <c r="F81" s="103" t="s">
        <v>39</v>
      </c>
      <c r="G81" s="104">
        <v>46087</v>
      </c>
      <c r="H81" s="104">
        <v>46118</v>
      </c>
    </row>
    <row r="82" ht="14.25">
      <c r="B82" s="101">
        <v>7</v>
      </c>
      <c r="C82" s="101" t="s">
        <v>292</v>
      </c>
      <c r="D82" s="101" t="s">
        <v>29</v>
      </c>
      <c r="E82" s="101">
        <v>6.5</v>
      </c>
      <c r="F82" s="101" t="s">
        <v>158</v>
      </c>
      <c r="G82" s="102">
        <v>46148</v>
      </c>
      <c r="H82" s="102">
        <v>46148</v>
      </c>
    </row>
    <row r="83" ht="14.25">
      <c r="B83" s="103">
        <v>7.0999999999999996</v>
      </c>
      <c r="C83" s="103" t="s">
        <v>249</v>
      </c>
      <c r="D83" s="103" t="s">
        <v>231</v>
      </c>
      <c r="E83" s="103">
        <v>6.5</v>
      </c>
      <c r="F83" s="103" t="s">
        <v>148</v>
      </c>
      <c r="G83" s="104">
        <v>46148</v>
      </c>
      <c r="H83" s="104">
        <v>46148</v>
      </c>
    </row>
    <row r="84" ht="14.25">
      <c r="B84" s="103">
        <v>7.2000000000000002</v>
      </c>
      <c r="C84" s="103" t="s">
        <v>293</v>
      </c>
      <c r="D84" s="103" t="s">
        <v>294</v>
      </c>
      <c r="E84" s="103">
        <v>7.0999999999999996</v>
      </c>
      <c r="F84" s="103" t="s">
        <v>148</v>
      </c>
      <c r="G84" s="104">
        <v>46148</v>
      </c>
      <c r="H84" s="104">
        <v>46148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20" zoomScale="100" workbookViewId="0">
      <selection activeCell="A1" activeCellId="0" sqref="A1"/>
    </sheetView>
  </sheetViews>
  <sheetFormatPr defaultRowHeight="14.25"/>
  <cols>
    <col customWidth="1" min="1" max="1" style="1" width="3.00390625"/>
    <col customWidth="1" min="2" max="2" style="1" width="13.00390625"/>
    <col customWidth="1" min="3" max="3" style="1" width="43.57421875"/>
    <col customWidth="1" min="4" max="5" style="1" width="31.7109375"/>
    <col customWidth="1" min="6" max="6" style="1" width="37.00390625"/>
    <col customWidth="1" min="7" max="7" style="1" width="21.57421875"/>
    <col customWidth="1" min="8" max="10" style="1" width="17.7109375"/>
    <col customWidth="1" min="11" max="11" style="1" width="60.00390625"/>
    <col customWidth="1" min="12" max="12" style="1" width="3.7109375"/>
    <col customWidth="1" min="13" max="13" style="1" width="3.140625"/>
    <col customWidth="1" min="14" max="14" style="1" width="3.140625"/>
    <col customWidth="1" min="15" max="15" style="1" width="3.57421875"/>
    <col customWidth="1" min="16" max="16" style="1" width="3.140625"/>
    <col customWidth="1" min="17" max="16384" style="1" width="3.140625"/>
  </cols>
  <sheetData>
    <row r="1" ht="14.25">
      <c r="A1" s="2"/>
      <c r="B1" s="2"/>
      <c r="C1" s="2"/>
      <c r="D1" s="2"/>
      <c r="E1" s="2"/>
      <c r="F1" s="2"/>
      <c r="G1" s="2"/>
      <c r="H1" s="2"/>
      <c r="I1" s="2"/>
      <c r="J1" s="2"/>
      <c r="K1" s="2"/>
      <c r="L1" s="2"/>
    </row>
    <row r="2" ht="15">
      <c r="A2" s="2"/>
      <c r="B2" s="3"/>
      <c r="C2" s="4" t="s">
        <v>0</v>
      </c>
      <c r="D2" s="5" t="s">
        <v>1</v>
      </c>
      <c r="E2" s="6"/>
      <c r="F2" s="4" t="s">
        <v>2</v>
      </c>
      <c r="G2" s="7">
        <v>46083</v>
      </c>
      <c r="I2" s="8" t="s">
        <v>3</v>
      </c>
      <c r="J2" s="9"/>
      <c r="K2" s="10"/>
      <c r="L2" s="2"/>
    </row>
    <row r="3" ht="15">
      <c r="A3" s="2"/>
      <c r="B3" s="3"/>
      <c r="C3" s="11" t="s">
        <v>4</v>
      </c>
      <c r="D3" s="12" t="s">
        <v>5</v>
      </c>
      <c r="E3" s="6"/>
      <c r="F3" s="11" t="s">
        <v>6</v>
      </c>
      <c r="G3" s="13">
        <v>46192</v>
      </c>
      <c r="I3" s="14" t="s">
        <v>7</v>
      </c>
      <c r="J3" s="15"/>
      <c r="K3" s="16"/>
      <c r="L3" s="2"/>
    </row>
    <row r="4" ht="15">
      <c r="A4" s="2"/>
      <c r="B4" s="3"/>
      <c r="C4" s="11" t="s">
        <v>8</v>
      </c>
      <c r="D4" s="12" t="s">
        <v>9</v>
      </c>
      <c r="E4" s="6"/>
      <c r="F4" s="11" t="s">
        <v>10</v>
      </c>
      <c r="G4" s="13">
        <v>46083</v>
      </c>
      <c r="I4" s="17"/>
      <c r="J4" s="18"/>
      <c r="K4" s="19"/>
      <c r="L4" s="2"/>
    </row>
    <row r="5" ht="15">
      <c r="A5" s="2"/>
      <c r="B5" s="3"/>
      <c r="C5" s="20" t="s">
        <v>11</v>
      </c>
      <c r="D5" s="21" t="s">
        <v>12</v>
      </c>
      <c r="E5" s="6"/>
      <c r="F5" s="11" t="s">
        <v>13</v>
      </c>
      <c r="G5" s="13" t="s">
        <v>14</v>
      </c>
      <c r="I5" s="17"/>
      <c r="J5" s="18"/>
      <c r="K5" s="19"/>
      <c r="L5" s="2"/>
      <c r="P5" s="1"/>
    </row>
    <row r="6" ht="15">
      <c r="A6" s="2"/>
      <c r="B6" s="3"/>
      <c r="C6" s="22"/>
      <c r="D6" s="23"/>
      <c r="E6" s="6"/>
      <c r="F6" s="20" t="s">
        <v>15</v>
      </c>
      <c r="G6" s="24">
        <f ca="1">TODAY()</f>
        <v>46154</v>
      </c>
      <c r="I6" s="25"/>
      <c r="J6" s="26"/>
      <c r="K6" s="27"/>
      <c r="L6" s="2"/>
      <c r="P6" s="1"/>
    </row>
    <row r="7" ht="14.25">
      <c r="A7" s="2"/>
      <c r="B7" s="28"/>
      <c r="C7" s="28"/>
      <c r="D7" s="28"/>
      <c r="E7" s="28"/>
      <c r="F7" s="29"/>
      <c r="G7" s="29"/>
      <c r="H7" s="30"/>
      <c r="I7" s="30"/>
      <c r="J7" s="30"/>
      <c r="K7" s="30"/>
      <c r="L7" s="2"/>
      <c r="P7" s="1"/>
    </row>
    <row r="8" ht="17.25">
      <c r="A8" s="2"/>
      <c r="B8" s="31" t="s">
        <v>16</v>
      </c>
      <c r="C8" s="31"/>
      <c r="D8" s="31"/>
      <c r="E8" s="31"/>
      <c r="F8" s="31"/>
      <c r="G8" s="31"/>
      <c r="H8" s="31"/>
      <c r="I8" s="31"/>
      <c r="J8" s="31"/>
      <c r="K8" s="31"/>
      <c r="L8" s="2"/>
      <c r="P8" s="1"/>
    </row>
    <row r="9" ht="17.25">
      <c r="A9" s="30"/>
      <c r="B9" s="32"/>
      <c r="C9" s="32"/>
      <c r="D9" s="32"/>
      <c r="E9" s="32"/>
      <c r="F9" s="32"/>
      <c r="G9" s="32"/>
      <c r="H9" s="32"/>
      <c r="I9" s="32"/>
      <c r="J9" s="32"/>
      <c r="K9" s="32"/>
      <c r="L9" s="30"/>
      <c r="P9" s="1"/>
    </row>
    <row r="10" s="33" customFormat="1" ht="15">
      <c r="A10" s="34"/>
      <c r="B10" s="35" t="s">
        <v>17</v>
      </c>
      <c r="C10" s="35" t="s">
        <v>18</v>
      </c>
      <c r="D10" s="35" t="s">
        <v>19</v>
      </c>
      <c r="E10" s="35" t="s">
        <v>20</v>
      </c>
      <c r="F10" s="35" t="s">
        <v>21</v>
      </c>
      <c r="G10" s="35" t="s">
        <v>22</v>
      </c>
      <c r="H10" s="35" t="s">
        <v>23</v>
      </c>
      <c r="I10" s="35" t="s">
        <v>24</v>
      </c>
      <c r="J10" s="35" t="s">
        <v>25</v>
      </c>
      <c r="K10" s="35" t="s">
        <v>26</v>
      </c>
      <c r="L10" s="34"/>
      <c r="M10" s="33"/>
    </row>
    <row r="11" s="36" customFormat="1" ht="15">
      <c r="A11" s="37"/>
      <c r="B11" s="38" t="s">
        <v>27</v>
      </c>
      <c r="C11" s="39" t="s">
        <v>28</v>
      </c>
      <c r="D11" s="40" t="s">
        <v>29</v>
      </c>
      <c r="E11" s="40" t="s">
        <v>30</v>
      </c>
      <c r="F11" s="41" t="s">
        <v>29</v>
      </c>
      <c r="G11" s="41" t="s">
        <v>29</v>
      </c>
      <c r="H11" s="42">
        <v>46083</v>
      </c>
      <c r="I11" s="43">
        <v>46176</v>
      </c>
      <c r="J11" s="44"/>
      <c r="K11" s="44"/>
      <c r="L11" s="37"/>
      <c r="M11" s="36"/>
    </row>
    <row r="12" s="36" customFormat="1" ht="14.25">
      <c r="A12" s="37"/>
      <c r="B12" s="45" t="s">
        <v>31</v>
      </c>
      <c r="C12" s="46" t="s">
        <v>32</v>
      </c>
      <c r="D12" s="41" t="s">
        <v>30</v>
      </c>
      <c r="E12" s="41" t="s">
        <v>30</v>
      </c>
      <c r="F12" s="41" t="s">
        <v>29</v>
      </c>
      <c r="G12" s="47" t="s">
        <v>33</v>
      </c>
      <c r="H12" s="42">
        <v>46083</v>
      </c>
      <c r="I12" s="43">
        <v>46087</v>
      </c>
      <c r="J12" s="48"/>
      <c r="K12" s="48"/>
      <c r="L12" s="37"/>
      <c r="M12" s="36"/>
    </row>
    <row r="13" s="36" customFormat="1" ht="14.25">
      <c r="A13" s="37"/>
      <c r="B13" s="45" t="s">
        <v>34</v>
      </c>
      <c r="C13" s="46" t="s">
        <v>35</v>
      </c>
      <c r="D13" s="41" t="s">
        <v>30</v>
      </c>
      <c r="E13" s="41" t="s">
        <v>30</v>
      </c>
      <c r="F13" s="41">
        <v>1.1000000000000001</v>
      </c>
      <c r="G13" s="47" t="s">
        <v>36</v>
      </c>
      <c r="H13" s="43">
        <v>46087</v>
      </c>
      <c r="I13" s="42">
        <v>46192</v>
      </c>
      <c r="J13" s="48"/>
      <c r="K13" s="48"/>
      <c r="L13" s="37"/>
      <c r="M13" s="36"/>
    </row>
    <row r="14" s="36" customFormat="1" ht="14.25">
      <c r="A14" s="37"/>
      <c r="B14" s="49" t="s">
        <v>37</v>
      </c>
      <c r="C14" s="50" t="s">
        <v>38</v>
      </c>
      <c r="D14" s="51" t="s">
        <v>30</v>
      </c>
      <c r="E14" s="51" t="s">
        <v>30</v>
      </c>
      <c r="F14" s="51">
        <v>7.2999999999999998</v>
      </c>
      <c r="G14" s="52" t="s">
        <v>39</v>
      </c>
      <c r="H14" s="53">
        <v>46191</v>
      </c>
      <c r="I14" s="53">
        <v>46192</v>
      </c>
      <c r="J14" s="54"/>
      <c r="K14" s="54"/>
      <c r="L14" s="37"/>
      <c r="M14" s="36"/>
    </row>
    <row r="15" s="36" customFormat="1" ht="15">
      <c r="A15" s="37"/>
      <c r="B15" s="55" t="s">
        <v>40</v>
      </c>
      <c r="C15" s="56" t="s">
        <v>41</v>
      </c>
      <c r="D15" s="57" t="s">
        <v>29</v>
      </c>
      <c r="E15" s="57" t="s">
        <v>30</v>
      </c>
      <c r="F15" s="57">
        <v>1.1000000000000001</v>
      </c>
      <c r="G15" s="58" t="s">
        <v>42</v>
      </c>
      <c r="H15" s="59">
        <v>46083</v>
      </c>
      <c r="I15" s="59">
        <v>46101</v>
      </c>
      <c r="J15" s="60"/>
      <c r="K15" s="60"/>
      <c r="L15" s="37"/>
      <c r="M15" s="36"/>
    </row>
    <row r="16" s="36" customFormat="1" ht="14.25">
      <c r="A16" s="37"/>
      <c r="B16" s="45" t="s">
        <v>43</v>
      </c>
      <c r="C16" s="46" t="s">
        <v>44</v>
      </c>
      <c r="D16" s="41" t="s">
        <v>45</v>
      </c>
      <c r="E16" s="41" t="s">
        <v>30</v>
      </c>
      <c r="F16" s="41" t="s">
        <v>29</v>
      </c>
      <c r="G16" s="47" t="s">
        <v>46</v>
      </c>
      <c r="H16" s="42">
        <v>46083</v>
      </c>
      <c r="I16" s="42">
        <v>46091</v>
      </c>
      <c r="J16" s="48"/>
      <c r="K16" s="48"/>
      <c r="L16" s="37"/>
      <c r="M16" s="36"/>
    </row>
    <row r="17" s="36" customFormat="1" ht="14.25">
      <c r="A17" s="37"/>
      <c r="B17" s="61" t="s">
        <v>47</v>
      </c>
      <c r="C17" s="62" t="s">
        <v>48</v>
      </c>
      <c r="D17" s="41" t="s">
        <v>45</v>
      </c>
      <c r="E17" s="41" t="s">
        <v>30</v>
      </c>
      <c r="F17" s="41" t="s">
        <v>29</v>
      </c>
      <c r="G17" s="48" t="s">
        <v>49</v>
      </c>
      <c r="H17" s="63">
        <v>46083</v>
      </c>
      <c r="I17" s="63">
        <v>46091</v>
      </c>
      <c r="J17" s="48"/>
      <c r="K17" s="48"/>
      <c r="L17" s="37"/>
      <c r="M17" s="36"/>
    </row>
    <row r="18" s="36" customFormat="1" ht="14.25">
      <c r="A18" s="37"/>
      <c r="B18" s="61" t="s">
        <v>50</v>
      </c>
      <c r="C18" s="62" t="s">
        <v>51</v>
      </c>
      <c r="D18" s="41" t="s">
        <v>45</v>
      </c>
      <c r="E18" s="41" t="s">
        <v>30</v>
      </c>
      <c r="F18" s="41" t="s">
        <v>47</v>
      </c>
      <c r="G18" s="48" t="s">
        <v>52</v>
      </c>
      <c r="H18" s="63">
        <v>46092</v>
      </c>
      <c r="I18" s="63">
        <v>46094</v>
      </c>
      <c r="J18" s="48"/>
      <c r="K18" s="48"/>
      <c r="L18" s="37"/>
      <c r="M18" s="36"/>
    </row>
    <row r="19" s="36" customFormat="1" ht="14.25">
      <c r="A19" s="37"/>
      <c r="B19" s="45" t="s">
        <v>53</v>
      </c>
      <c r="C19" s="46" t="s">
        <v>54</v>
      </c>
      <c r="D19" s="41" t="s">
        <v>55</v>
      </c>
      <c r="E19" s="41" t="s">
        <v>30</v>
      </c>
      <c r="F19" s="41" t="s">
        <v>47</v>
      </c>
      <c r="G19" s="47" t="s">
        <v>52</v>
      </c>
      <c r="H19" s="42">
        <v>46092</v>
      </c>
      <c r="I19" s="42">
        <v>46094</v>
      </c>
      <c r="J19" s="48"/>
      <c r="K19" s="48"/>
      <c r="L19" s="37"/>
      <c r="M19" s="36"/>
    </row>
    <row r="20" s="36" customFormat="1" ht="14.25">
      <c r="A20" s="37"/>
      <c r="B20" s="45" t="s">
        <v>56</v>
      </c>
      <c r="C20" s="46" t="s">
        <v>57</v>
      </c>
      <c r="D20" s="41" t="s">
        <v>58</v>
      </c>
      <c r="E20" s="41" t="s">
        <v>30</v>
      </c>
      <c r="F20" s="41" t="s">
        <v>50</v>
      </c>
      <c r="G20" s="47" t="s">
        <v>59</v>
      </c>
      <c r="H20" s="42">
        <v>46092</v>
      </c>
      <c r="I20" s="42">
        <v>46098</v>
      </c>
      <c r="J20" s="48"/>
      <c r="K20" s="48"/>
      <c r="L20" s="37"/>
      <c r="M20" s="36"/>
    </row>
    <row r="21" s="36" customFormat="1" ht="14.25">
      <c r="A21" s="37"/>
      <c r="B21" s="61" t="s">
        <v>60</v>
      </c>
      <c r="C21" s="62" t="s">
        <v>61</v>
      </c>
      <c r="D21" s="41" t="s">
        <v>62</v>
      </c>
      <c r="E21" s="41" t="s">
        <v>30</v>
      </c>
      <c r="F21" s="41" t="s">
        <v>50</v>
      </c>
      <c r="G21" s="48" t="s">
        <v>52</v>
      </c>
      <c r="H21" s="63">
        <v>46092</v>
      </c>
      <c r="I21" s="63">
        <v>46094</v>
      </c>
      <c r="J21" s="48"/>
      <c r="K21" s="48"/>
      <c r="L21" s="37"/>
      <c r="M21" s="36"/>
      <c r="O21" s="36"/>
      <c r="P21" s="36"/>
    </row>
    <row r="22" s="36" customFormat="1" ht="14.25">
      <c r="A22" s="37"/>
      <c r="B22" s="61" t="s">
        <v>63</v>
      </c>
      <c r="C22" s="62" t="s">
        <v>64</v>
      </c>
      <c r="D22" s="41" t="s">
        <v>58</v>
      </c>
      <c r="E22" s="41" t="s">
        <v>30</v>
      </c>
      <c r="F22" s="41" t="s">
        <v>60</v>
      </c>
      <c r="G22" s="48" t="s">
        <v>39</v>
      </c>
      <c r="H22" s="63">
        <v>46097</v>
      </c>
      <c r="I22" s="63">
        <v>46098</v>
      </c>
      <c r="J22" s="48"/>
      <c r="K22" s="48"/>
      <c r="L22" s="37"/>
      <c r="M22" s="36"/>
      <c r="O22" s="36"/>
      <c r="P22" s="36"/>
    </row>
    <row r="23" s="36" customFormat="1" ht="14.25">
      <c r="A23" s="37"/>
      <c r="B23" s="45" t="s">
        <v>65</v>
      </c>
      <c r="C23" s="46" t="s">
        <v>66</v>
      </c>
      <c r="D23" s="41" t="s">
        <v>55</v>
      </c>
      <c r="E23" s="41" t="s">
        <v>30</v>
      </c>
      <c r="F23" s="41"/>
      <c r="G23" s="47" t="s">
        <v>67</v>
      </c>
      <c r="H23" s="42">
        <v>46092</v>
      </c>
      <c r="I23" s="42">
        <v>46101</v>
      </c>
      <c r="J23" s="48"/>
      <c r="K23" s="48"/>
      <c r="L23" s="37"/>
      <c r="M23" s="36"/>
    </row>
    <row r="24" s="36" customFormat="1" ht="14.25">
      <c r="A24" s="37"/>
      <c r="B24" s="61" t="s">
        <v>68</v>
      </c>
      <c r="C24" s="62" t="s">
        <v>69</v>
      </c>
      <c r="D24" s="41" t="s">
        <v>70</v>
      </c>
      <c r="E24" s="41" t="s">
        <v>30</v>
      </c>
      <c r="F24" s="41" t="s">
        <v>47</v>
      </c>
      <c r="G24" s="48" t="s">
        <v>52</v>
      </c>
      <c r="H24" s="63">
        <v>46092</v>
      </c>
      <c r="I24" s="63">
        <v>46094</v>
      </c>
      <c r="J24" s="48"/>
      <c r="K24" s="48"/>
      <c r="L24" s="37"/>
      <c r="M24" s="36"/>
    </row>
    <row r="25" s="36" customFormat="1" ht="14.25">
      <c r="A25" s="37"/>
      <c r="B25" s="61" t="s">
        <v>71</v>
      </c>
      <c r="C25" s="62" t="s">
        <v>72</v>
      </c>
      <c r="D25" s="41" t="s">
        <v>55</v>
      </c>
      <c r="E25" s="41" t="s">
        <v>30</v>
      </c>
      <c r="F25" s="41" t="s">
        <v>73</v>
      </c>
      <c r="G25" s="48" t="s">
        <v>52</v>
      </c>
      <c r="H25" s="63">
        <v>46097</v>
      </c>
      <c r="I25" s="63">
        <v>46099</v>
      </c>
      <c r="J25" s="48"/>
      <c r="K25" s="48"/>
      <c r="L25" s="37"/>
      <c r="M25" s="36"/>
    </row>
    <row r="26" s="36" customFormat="1" ht="14.25">
      <c r="A26" s="37"/>
      <c r="B26" s="64" t="s">
        <v>74</v>
      </c>
      <c r="C26" s="65" t="s">
        <v>75</v>
      </c>
      <c r="D26" s="51" t="s">
        <v>76</v>
      </c>
      <c r="E26" s="51" t="s">
        <v>30</v>
      </c>
      <c r="F26" s="51" t="s">
        <v>63</v>
      </c>
      <c r="G26" s="54" t="s">
        <v>77</v>
      </c>
      <c r="H26" s="66">
        <v>46100</v>
      </c>
      <c r="I26" s="66">
        <v>46101</v>
      </c>
      <c r="J26" s="54"/>
      <c r="K26" s="54"/>
      <c r="L26" s="37"/>
      <c r="M26" s="36"/>
    </row>
    <row r="27" s="36" customFormat="1" ht="15">
      <c r="A27" s="37"/>
      <c r="B27" s="55" t="s">
        <v>78</v>
      </c>
      <c r="C27" s="56" t="s">
        <v>79</v>
      </c>
      <c r="D27" s="57" t="s">
        <v>29</v>
      </c>
      <c r="E27" s="57" t="s">
        <v>80</v>
      </c>
      <c r="F27" s="57" t="s">
        <v>29</v>
      </c>
      <c r="G27" s="58" t="s">
        <v>81</v>
      </c>
      <c r="H27" s="59">
        <v>46090</v>
      </c>
      <c r="I27" s="59">
        <v>46122</v>
      </c>
      <c r="J27" s="60"/>
      <c r="K27" s="67"/>
      <c r="L27" s="68"/>
      <c r="M27" s="36"/>
      <c r="O27" s="69"/>
    </row>
    <row r="28" s="36" customFormat="1" ht="14.25">
      <c r="A28" s="37"/>
      <c r="B28" s="45" t="s">
        <v>82</v>
      </c>
      <c r="C28" s="46" t="s">
        <v>83</v>
      </c>
      <c r="D28" s="41" t="s">
        <v>84</v>
      </c>
      <c r="E28" s="41" t="s">
        <v>80</v>
      </c>
      <c r="F28" s="41">
        <v>2.1000000000000001</v>
      </c>
      <c r="G28" s="47" t="s">
        <v>59</v>
      </c>
      <c r="H28" s="42">
        <v>46090</v>
      </c>
      <c r="I28" s="42">
        <v>46094</v>
      </c>
      <c r="J28" s="48"/>
      <c r="K28" s="70"/>
      <c r="L28" s="68"/>
      <c r="M28" s="36"/>
    </row>
    <row r="29" s="36" customFormat="1" ht="14.25">
      <c r="A29" s="37"/>
      <c r="B29" s="45" t="s">
        <v>85</v>
      </c>
      <c r="C29" s="46" t="s">
        <v>86</v>
      </c>
      <c r="D29" s="41" t="s">
        <v>29</v>
      </c>
      <c r="E29" s="41" t="s">
        <v>80</v>
      </c>
      <c r="F29" s="41">
        <v>3.1000000000000001</v>
      </c>
      <c r="G29" s="47" t="s">
        <v>87</v>
      </c>
      <c r="H29" s="42">
        <v>46097</v>
      </c>
      <c r="I29" s="42">
        <v>46122</v>
      </c>
      <c r="J29" s="48"/>
      <c r="K29" s="70"/>
      <c r="L29" s="68"/>
      <c r="M29" s="36"/>
    </row>
    <row r="30" s="36" customFormat="1" ht="14.25">
      <c r="A30" s="37"/>
      <c r="B30" s="61" t="s">
        <v>88</v>
      </c>
      <c r="C30" s="62" t="s">
        <v>89</v>
      </c>
      <c r="D30" s="41" t="s">
        <v>90</v>
      </c>
      <c r="E30" s="41" t="s">
        <v>80</v>
      </c>
      <c r="F30" s="41">
        <v>3.1000000000000001</v>
      </c>
      <c r="G30" s="48" t="s">
        <v>87</v>
      </c>
      <c r="H30" s="63">
        <v>46097</v>
      </c>
      <c r="I30" s="63">
        <v>46122</v>
      </c>
      <c r="J30" s="48"/>
      <c r="K30" s="70"/>
      <c r="L30" s="68"/>
      <c r="M30" s="36"/>
    </row>
    <row r="31" s="36" customFormat="1" ht="14.25">
      <c r="A31" s="37"/>
      <c r="B31" s="64" t="s">
        <v>91</v>
      </c>
      <c r="C31" s="54" t="s">
        <v>92</v>
      </c>
      <c r="D31" s="51" t="s">
        <v>93</v>
      </c>
      <c r="E31" s="51" t="s">
        <v>80</v>
      </c>
      <c r="F31" s="51">
        <v>3.1000000000000001</v>
      </c>
      <c r="G31" s="54" t="s">
        <v>87</v>
      </c>
      <c r="H31" s="66">
        <v>46097</v>
      </c>
      <c r="I31" s="66">
        <v>46122</v>
      </c>
      <c r="J31" s="54"/>
      <c r="K31" s="71"/>
      <c r="M31" s="36"/>
    </row>
    <row r="32" s="36" customFormat="1" ht="15">
      <c r="A32" s="37"/>
      <c r="B32" s="55" t="s">
        <v>94</v>
      </c>
      <c r="C32" s="56" t="s">
        <v>95</v>
      </c>
      <c r="D32" s="57" t="s">
        <v>29</v>
      </c>
      <c r="E32" s="57" t="s">
        <v>80</v>
      </c>
      <c r="F32" s="57" t="s">
        <v>29</v>
      </c>
      <c r="G32" s="58" t="s">
        <v>87</v>
      </c>
      <c r="H32" s="59">
        <v>46125</v>
      </c>
      <c r="I32" s="59">
        <v>46157</v>
      </c>
      <c r="J32" s="60"/>
      <c r="K32" s="72"/>
      <c r="L32" s="68"/>
      <c r="M32" s="36"/>
      <c r="N32" s="36"/>
      <c r="O32" s="73"/>
    </row>
    <row r="33" s="36" customFormat="1" ht="14.25">
      <c r="A33" s="37"/>
      <c r="B33" s="45" t="s">
        <v>96</v>
      </c>
      <c r="C33" s="46" t="s">
        <v>97</v>
      </c>
      <c r="D33" s="41" t="s">
        <v>93</v>
      </c>
      <c r="E33" s="41" t="s">
        <v>80</v>
      </c>
      <c r="F33" s="41" t="s">
        <v>29</v>
      </c>
      <c r="G33" s="47" t="s">
        <v>87</v>
      </c>
      <c r="H33" s="42">
        <v>46125</v>
      </c>
      <c r="I33" s="42">
        <v>46157</v>
      </c>
      <c r="J33" s="48"/>
      <c r="K33" s="74"/>
      <c r="L33" s="68"/>
      <c r="M33" s="36"/>
      <c r="N33" s="36"/>
      <c r="O33" s="36"/>
    </row>
    <row r="34" s="36" customFormat="1" ht="14.25">
      <c r="A34" s="37"/>
      <c r="B34" s="61" t="s">
        <v>98</v>
      </c>
      <c r="C34" s="62" t="s">
        <v>99</v>
      </c>
      <c r="D34" s="41" t="s">
        <v>93</v>
      </c>
      <c r="E34" s="41" t="s">
        <v>80</v>
      </c>
      <c r="F34" s="41">
        <v>2.2999999999999998</v>
      </c>
      <c r="G34" s="48" t="s">
        <v>59</v>
      </c>
      <c r="H34" s="63">
        <v>46125</v>
      </c>
      <c r="I34" s="63">
        <v>46129</v>
      </c>
      <c r="J34" s="48"/>
      <c r="K34" s="75"/>
      <c r="L34" s="68"/>
      <c r="M34" s="36"/>
      <c r="N34" s="36"/>
      <c r="O34" s="36"/>
      <c r="P34" s="36"/>
    </row>
    <row r="35" s="36" customFormat="1" ht="14.25">
      <c r="A35" s="37"/>
      <c r="B35" s="61" t="s">
        <v>100</v>
      </c>
      <c r="C35" s="62" t="s">
        <v>101</v>
      </c>
      <c r="D35" s="41" t="s">
        <v>93</v>
      </c>
      <c r="E35" s="41" t="s">
        <v>80</v>
      </c>
      <c r="F35" s="41" t="s">
        <v>98</v>
      </c>
      <c r="G35" s="48" t="s">
        <v>59</v>
      </c>
      <c r="H35" s="63">
        <v>46132</v>
      </c>
      <c r="I35" s="63">
        <v>46136</v>
      </c>
      <c r="J35" s="48"/>
      <c r="K35" s="75"/>
      <c r="L35" s="68"/>
      <c r="M35" s="36"/>
      <c r="N35" s="36"/>
      <c r="O35" s="36"/>
      <c r="P35" s="36"/>
    </row>
    <row r="36" s="36" customFormat="1" ht="14.25">
      <c r="A36" s="37"/>
      <c r="B36" s="61" t="s">
        <v>102</v>
      </c>
      <c r="C36" s="62" t="s">
        <v>103</v>
      </c>
      <c r="D36" s="41" t="s">
        <v>93</v>
      </c>
      <c r="E36" s="41" t="s">
        <v>80</v>
      </c>
      <c r="F36" s="41" t="s">
        <v>100</v>
      </c>
      <c r="G36" s="48" t="s">
        <v>59</v>
      </c>
      <c r="H36" s="63">
        <v>46146</v>
      </c>
      <c r="I36" s="63">
        <v>46150</v>
      </c>
      <c r="J36" s="48"/>
      <c r="K36" s="75"/>
      <c r="L36" s="68"/>
      <c r="M36" s="36"/>
      <c r="N36" s="36"/>
      <c r="O36" s="36"/>
      <c r="P36" s="36"/>
    </row>
    <row r="37" s="36" customFormat="1" ht="14.25">
      <c r="A37" s="37"/>
      <c r="B37" s="61" t="s">
        <v>104</v>
      </c>
      <c r="C37" s="62" t="s">
        <v>105</v>
      </c>
      <c r="D37" s="41" t="s">
        <v>93</v>
      </c>
      <c r="E37" s="41" t="s">
        <v>80</v>
      </c>
      <c r="F37" s="41" t="s">
        <v>100</v>
      </c>
      <c r="G37" s="48" t="s">
        <v>59</v>
      </c>
      <c r="H37" s="63">
        <v>46153</v>
      </c>
      <c r="I37" s="63">
        <v>46157</v>
      </c>
      <c r="J37" s="48"/>
      <c r="K37" s="75"/>
      <c r="L37" s="68"/>
      <c r="M37" s="36"/>
      <c r="N37" s="36"/>
      <c r="O37" s="36"/>
    </row>
    <row r="38" s="36" customFormat="1" ht="14.25">
      <c r="A38" s="76"/>
      <c r="B38" s="45" t="s">
        <v>106</v>
      </c>
      <c r="C38" s="47" t="s">
        <v>107</v>
      </c>
      <c r="D38" s="41" t="s">
        <v>90</v>
      </c>
      <c r="E38" s="41" t="s">
        <v>80</v>
      </c>
      <c r="F38" s="41" t="s">
        <v>29</v>
      </c>
      <c r="G38" s="47" t="s">
        <v>87</v>
      </c>
      <c r="H38" s="42">
        <v>46125</v>
      </c>
      <c r="I38" s="42">
        <v>46157</v>
      </c>
      <c r="J38" s="48"/>
      <c r="K38" s="77"/>
      <c r="L38" s="68"/>
      <c r="M38" s="36"/>
      <c r="N38" s="36"/>
      <c r="O38" s="36"/>
    </row>
    <row r="39" s="36" customFormat="1" ht="14.25">
      <c r="A39" s="76"/>
      <c r="B39" s="61" t="s">
        <v>108</v>
      </c>
      <c r="C39" s="62" t="s">
        <v>109</v>
      </c>
      <c r="D39" s="41" t="s">
        <v>90</v>
      </c>
      <c r="E39" s="41" t="s">
        <v>80</v>
      </c>
      <c r="F39" s="41" t="s">
        <v>110</v>
      </c>
      <c r="G39" s="48" t="s">
        <v>59</v>
      </c>
      <c r="H39" s="63">
        <v>46125</v>
      </c>
      <c r="I39" s="63">
        <v>46129</v>
      </c>
      <c r="J39" s="48"/>
      <c r="K39" s="77"/>
      <c r="L39" s="68"/>
      <c r="M39" s="36"/>
      <c r="N39" s="36"/>
      <c r="O39" s="36"/>
    </row>
    <row r="40" s="36" customFormat="1" ht="14.25">
      <c r="A40" s="76"/>
      <c r="B40" s="61" t="s">
        <v>111</v>
      </c>
      <c r="C40" s="62" t="s">
        <v>112</v>
      </c>
      <c r="D40" s="41" t="s">
        <v>90</v>
      </c>
      <c r="E40" s="41" t="s">
        <v>80</v>
      </c>
      <c r="F40" s="41" t="s">
        <v>108</v>
      </c>
      <c r="G40" s="48" t="s">
        <v>59</v>
      </c>
      <c r="H40" s="63">
        <v>46132</v>
      </c>
      <c r="I40" s="63">
        <v>46136</v>
      </c>
      <c r="J40" s="48"/>
      <c r="K40" s="77"/>
      <c r="L40" s="68"/>
      <c r="M40" s="36"/>
      <c r="N40" s="36"/>
      <c r="O40" s="36"/>
    </row>
    <row r="41" s="36" customFormat="1" ht="14.25">
      <c r="A41" s="76"/>
      <c r="B41" s="61" t="s">
        <v>113</v>
      </c>
      <c r="C41" s="62" t="s">
        <v>114</v>
      </c>
      <c r="D41" s="41" t="s">
        <v>90</v>
      </c>
      <c r="E41" s="41" t="s">
        <v>80</v>
      </c>
      <c r="F41" s="41" t="s">
        <v>111</v>
      </c>
      <c r="G41" s="48" t="s">
        <v>59</v>
      </c>
      <c r="H41" s="63">
        <v>46146</v>
      </c>
      <c r="I41" s="63">
        <v>46150</v>
      </c>
      <c r="J41" s="48"/>
      <c r="K41" s="78" t="s">
        <v>115</v>
      </c>
      <c r="L41" s="68"/>
      <c r="M41" s="36"/>
      <c r="N41" s="36"/>
      <c r="O41" s="36"/>
    </row>
    <row r="42" s="36" customFormat="1" ht="14.25">
      <c r="A42" s="76"/>
      <c r="B42" s="64" t="s">
        <v>116</v>
      </c>
      <c r="C42" s="65" t="s">
        <v>105</v>
      </c>
      <c r="D42" s="51" t="s">
        <v>90</v>
      </c>
      <c r="E42" s="51" t="s">
        <v>80</v>
      </c>
      <c r="F42" s="51" t="s">
        <v>111</v>
      </c>
      <c r="G42" s="54" t="s">
        <v>59</v>
      </c>
      <c r="H42" s="66">
        <v>46153</v>
      </c>
      <c r="I42" s="66">
        <v>46157</v>
      </c>
      <c r="J42" s="54"/>
      <c r="K42" s="79"/>
      <c r="L42" s="68"/>
      <c r="M42" s="36"/>
      <c r="N42" s="36"/>
      <c r="O42" s="36"/>
    </row>
    <row r="43" s="36" customFormat="1" ht="15">
      <c r="A43" s="76"/>
      <c r="B43" s="80" t="s">
        <v>117</v>
      </c>
      <c r="C43" s="81" t="s">
        <v>118</v>
      </c>
      <c r="D43" s="82" t="s">
        <v>29</v>
      </c>
      <c r="E43" s="82" t="s">
        <v>80</v>
      </c>
      <c r="F43" s="57" t="s">
        <v>29</v>
      </c>
      <c r="G43" s="58" t="s">
        <v>119</v>
      </c>
      <c r="H43" s="59">
        <v>46097</v>
      </c>
      <c r="I43" s="59">
        <v>46125</v>
      </c>
      <c r="J43" s="60"/>
      <c r="K43" s="60"/>
      <c r="L43" s="76"/>
      <c r="M43" s="36"/>
    </row>
    <row r="44" s="36" customFormat="1" ht="14.25">
      <c r="A44" s="76"/>
      <c r="B44" s="83" t="s">
        <v>120</v>
      </c>
      <c r="C44" s="84" t="s">
        <v>121</v>
      </c>
      <c r="D44" s="85" t="s">
        <v>122</v>
      </c>
      <c r="E44" s="85" t="s">
        <v>80</v>
      </c>
      <c r="F44" s="41">
        <v>2.2999999999999998</v>
      </c>
      <c r="G44" s="47" t="s">
        <v>59</v>
      </c>
      <c r="H44" s="42">
        <v>46097</v>
      </c>
      <c r="I44" s="42">
        <v>46101</v>
      </c>
      <c r="J44" s="48"/>
      <c r="K44" s="48"/>
      <c r="L44" s="76"/>
      <c r="M44" s="36"/>
      <c r="N44" s="36"/>
      <c r="O44" s="36"/>
      <c r="P44" s="36"/>
    </row>
    <row r="45" s="36" customFormat="1" ht="14.25">
      <c r="A45" s="76"/>
      <c r="B45" s="83" t="s">
        <v>123</v>
      </c>
      <c r="C45" s="86" t="s">
        <v>124</v>
      </c>
      <c r="D45" s="85" t="s">
        <v>122</v>
      </c>
      <c r="E45" s="85" t="s">
        <v>80</v>
      </c>
      <c r="F45" s="85">
        <v>5.0999999999999996</v>
      </c>
      <c r="G45" s="86" t="s">
        <v>59</v>
      </c>
      <c r="H45" s="87">
        <v>46104</v>
      </c>
      <c r="I45" s="87">
        <v>46108</v>
      </c>
      <c r="J45" s="88"/>
      <c r="K45" s="88"/>
      <c r="L45" s="76"/>
      <c r="M45" s="36"/>
      <c r="N45" s="36"/>
      <c r="O45" s="36"/>
      <c r="P45" s="36"/>
    </row>
    <row r="46" s="36" customFormat="1" ht="14.25">
      <c r="A46" s="76"/>
      <c r="B46" s="83" t="s">
        <v>125</v>
      </c>
      <c r="C46" s="84" t="s">
        <v>126</v>
      </c>
      <c r="D46" s="85" t="s">
        <v>122</v>
      </c>
      <c r="E46" s="85" t="s">
        <v>80</v>
      </c>
      <c r="F46" s="41" t="s">
        <v>94</v>
      </c>
      <c r="G46" s="47" t="s">
        <v>59</v>
      </c>
      <c r="H46" s="42">
        <v>46114</v>
      </c>
      <c r="I46" s="42">
        <v>46118</v>
      </c>
      <c r="J46" s="48"/>
      <c r="K46" s="48"/>
      <c r="L46" s="76"/>
      <c r="M46" s="36"/>
      <c r="N46" s="36"/>
      <c r="O46" s="36"/>
      <c r="P46" s="36"/>
    </row>
    <row r="47" s="36" customFormat="1" ht="14.25">
      <c r="A47" s="76"/>
      <c r="B47" s="89" t="s">
        <v>127</v>
      </c>
      <c r="C47" s="90" t="s">
        <v>128</v>
      </c>
      <c r="D47" s="91" t="s">
        <v>122</v>
      </c>
      <c r="E47" s="91" t="s">
        <v>80</v>
      </c>
      <c r="F47" s="51">
        <v>5.2999999999999998</v>
      </c>
      <c r="G47" s="52" t="s">
        <v>129</v>
      </c>
      <c r="H47" s="53">
        <v>46121</v>
      </c>
      <c r="I47" s="53">
        <v>46123</v>
      </c>
      <c r="J47" s="54"/>
      <c r="K47" s="54"/>
      <c r="L47" s="76"/>
      <c r="M47" s="36"/>
      <c r="N47" s="36"/>
      <c r="O47" s="36"/>
      <c r="P47" s="36"/>
    </row>
    <row r="48" s="36" customFormat="1" ht="14.25">
      <c r="A48" s="76"/>
      <c r="B48" s="89" t="s">
        <v>130</v>
      </c>
      <c r="C48" s="90" t="s">
        <v>131</v>
      </c>
      <c r="D48" s="91" t="s">
        <v>122</v>
      </c>
      <c r="E48" s="91" t="s">
        <v>80</v>
      </c>
      <c r="F48" s="51">
        <v>5.2999999999999998</v>
      </c>
      <c r="G48" s="52" t="s">
        <v>129</v>
      </c>
      <c r="H48" s="53">
        <v>46123</v>
      </c>
      <c r="I48" s="53">
        <v>46125</v>
      </c>
      <c r="J48" s="54"/>
      <c r="K48" s="54"/>
      <c r="L48" s="76"/>
      <c r="M48" s="36"/>
      <c r="N48" s="36"/>
      <c r="O48" s="36"/>
      <c r="P48" s="36"/>
    </row>
    <row r="49" s="36" customFormat="1" ht="15">
      <c r="A49" s="76"/>
      <c r="B49" s="80" t="s">
        <v>132</v>
      </c>
      <c r="C49" s="92" t="s">
        <v>133</v>
      </c>
      <c r="D49" s="82" t="s">
        <v>134</v>
      </c>
      <c r="E49" s="82" t="s">
        <v>30</v>
      </c>
      <c r="F49" s="82" t="s">
        <v>29</v>
      </c>
      <c r="G49" s="93" t="s">
        <v>135</v>
      </c>
      <c r="H49" s="59">
        <v>46104</v>
      </c>
      <c r="I49" s="59">
        <v>46185</v>
      </c>
      <c r="J49" s="94"/>
      <c r="K49" s="94"/>
      <c r="L49" s="76"/>
      <c r="M49" s="36"/>
      <c r="N49" s="36"/>
      <c r="O49" s="36"/>
      <c r="P49" s="36"/>
    </row>
    <row r="50" s="36" customFormat="1" ht="14.25">
      <c r="A50" s="76"/>
      <c r="B50" s="83" t="s">
        <v>136</v>
      </c>
      <c r="C50" s="84" t="s">
        <v>137</v>
      </c>
      <c r="D50" s="85" t="s">
        <v>134</v>
      </c>
      <c r="E50" s="85" t="s">
        <v>30</v>
      </c>
      <c r="F50" s="41">
        <v>2.1000000000000001</v>
      </c>
      <c r="G50" s="47" t="s">
        <v>138</v>
      </c>
      <c r="H50" s="42">
        <v>46104</v>
      </c>
      <c r="I50" s="42">
        <v>46122</v>
      </c>
      <c r="J50" s="48"/>
      <c r="K50" s="48"/>
      <c r="L50" s="76"/>
      <c r="M50" s="36"/>
      <c r="O50" s="36"/>
      <c r="P50" s="36"/>
    </row>
    <row r="51" s="36" customFormat="1" ht="14.25">
      <c r="A51" s="76"/>
      <c r="B51" s="83" t="s">
        <v>139</v>
      </c>
      <c r="C51" s="86" t="s">
        <v>140</v>
      </c>
      <c r="D51" s="85" t="s">
        <v>134</v>
      </c>
      <c r="E51" s="85" t="s">
        <v>30</v>
      </c>
      <c r="F51" s="85" t="s">
        <v>141</v>
      </c>
      <c r="G51" s="86" t="s">
        <v>188</v>
      </c>
      <c r="H51" s="42">
        <v>46160</v>
      </c>
      <c r="I51" s="42">
        <v>46171</v>
      </c>
      <c r="J51" s="88"/>
      <c r="K51" s="88"/>
      <c r="L51" s="76"/>
      <c r="M51" s="36"/>
    </row>
    <row r="52" s="36" customFormat="1" ht="14.25">
      <c r="A52" s="76"/>
      <c r="B52" s="83" t="s">
        <v>143</v>
      </c>
      <c r="C52" s="84" t="s">
        <v>144</v>
      </c>
      <c r="D52" s="85" t="s">
        <v>145</v>
      </c>
      <c r="E52" s="85" t="s">
        <v>80</v>
      </c>
      <c r="F52" s="85">
        <v>6.2000000000000002</v>
      </c>
      <c r="G52" s="86" t="s">
        <v>188</v>
      </c>
      <c r="H52" s="42">
        <v>46160</v>
      </c>
      <c r="I52" s="42">
        <v>46171</v>
      </c>
      <c r="J52" s="88"/>
      <c r="K52" s="95"/>
      <c r="L52" s="96"/>
      <c r="M52" s="36"/>
      <c r="N52" s="36"/>
      <c r="O52" s="36"/>
      <c r="P52" s="36"/>
    </row>
    <row r="53" s="36" customFormat="1" ht="14.25">
      <c r="A53" s="76"/>
      <c r="B53" s="83" t="s">
        <v>146</v>
      </c>
      <c r="C53" s="84" t="s">
        <v>147</v>
      </c>
      <c r="D53" s="85" t="s">
        <v>122</v>
      </c>
      <c r="E53" s="85" t="s">
        <v>80</v>
      </c>
      <c r="F53" s="41">
        <v>6.2999999999999998</v>
      </c>
      <c r="G53" s="97" t="s">
        <v>148</v>
      </c>
      <c r="H53" s="42">
        <v>46171</v>
      </c>
      <c r="I53" s="42">
        <v>46171</v>
      </c>
      <c r="J53" s="44"/>
      <c r="K53" s="44"/>
      <c r="L53" s="76"/>
      <c r="M53" s="36"/>
    </row>
    <row r="54" s="36" customFormat="1" ht="14.25">
      <c r="A54" s="76"/>
      <c r="B54" s="83" t="s">
        <v>149</v>
      </c>
      <c r="C54" s="84" t="s">
        <v>150</v>
      </c>
      <c r="D54" s="85" t="s">
        <v>151</v>
      </c>
      <c r="E54" s="85" t="s">
        <v>30</v>
      </c>
      <c r="F54" s="41">
        <v>6.4000000000000004</v>
      </c>
      <c r="G54" s="47" t="s">
        <v>188</v>
      </c>
      <c r="H54" s="42">
        <v>46174</v>
      </c>
      <c r="I54" s="42">
        <v>46185</v>
      </c>
      <c r="J54" s="44"/>
      <c r="K54" s="44"/>
      <c r="L54" s="76"/>
      <c r="M54" s="36"/>
    </row>
    <row r="55" s="36" customFormat="1" ht="14.25">
      <c r="A55" s="76"/>
      <c r="B55" s="89" t="s">
        <v>152</v>
      </c>
      <c r="C55" s="90" t="s">
        <v>153</v>
      </c>
      <c r="D55" s="91" t="s">
        <v>145</v>
      </c>
      <c r="E55" s="91" t="s">
        <v>30</v>
      </c>
      <c r="F55" s="51">
        <v>6.5</v>
      </c>
      <c r="G55" s="52" t="s">
        <v>188</v>
      </c>
      <c r="H55" s="53">
        <v>46174</v>
      </c>
      <c r="I55" s="53">
        <v>46185</v>
      </c>
      <c r="J55" s="98"/>
      <c r="K55" s="98"/>
      <c r="L55" s="76"/>
      <c r="M55" s="36"/>
    </row>
    <row r="56" s="36" customFormat="1" ht="15">
      <c r="A56" s="76"/>
      <c r="B56" s="80" t="s">
        <v>154</v>
      </c>
      <c r="C56" s="81" t="s">
        <v>155</v>
      </c>
      <c r="D56" s="82" t="s">
        <v>29</v>
      </c>
      <c r="E56" s="82" t="s">
        <v>30</v>
      </c>
      <c r="F56" s="57" t="s">
        <v>29</v>
      </c>
      <c r="G56" s="58" t="s">
        <v>59</v>
      </c>
      <c r="H56" s="59">
        <v>46188</v>
      </c>
      <c r="I56" s="59">
        <v>46188</v>
      </c>
      <c r="J56" s="60"/>
      <c r="K56" s="60"/>
      <c r="L56" s="76"/>
      <c r="M56" s="36"/>
    </row>
    <row r="57" s="36" customFormat="1" ht="14.25">
      <c r="A57" s="76"/>
      <c r="B57" s="83" t="s">
        <v>156</v>
      </c>
      <c r="C57" s="84" t="s">
        <v>157</v>
      </c>
      <c r="D57" s="85" t="s">
        <v>122</v>
      </c>
      <c r="E57" s="85" t="s">
        <v>30</v>
      </c>
      <c r="F57" s="100">
        <v>6.5</v>
      </c>
      <c r="G57" s="47" t="s">
        <v>158</v>
      </c>
      <c r="H57" s="42">
        <v>46188</v>
      </c>
      <c r="I57" s="42">
        <v>46188</v>
      </c>
      <c r="J57" s="48"/>
      <c r="K57" s="48"/>
      <c r="L57" s="76"/>
      <c r="M57" s="36"/>
      <c r="N57" s="36"/>
      <c r="O57" s="36"/>
      <c r="P57" s="36"/>
    </row>
    <row r="58" s="36" customFormat="1" ht="14.25">
      <c r="A58" s="76"/>
      <c r="B58" s="83" t="s">
        <v>159</v>
      </c>
      <c r="C58" s="84" t="s">
        <v>160</v>
      </c>
      <c r="D58" s="85" t="s">
        <v>122</v>
      </c>
      <c r="E58" s="85" t="s">
        <v>30</v>
      </c>
      <c r="F58" s="41">
        <v>7.0999999999999996</v>
      </c>
      <c r="G58" s="47" t="s">
        <v>158</v>
      </c>
      <c r="H58" s="42">
        <v>46189</v>
      </c>
      <c r="I58" s="42">
        <v>46189</v>
      </c>
      <c r="J58" s="48"/>
      <c r="K58" s="48"/>
      <c r="L58" s="76"/>
      <c r="M58" s="36"/>
      <c r="N58" s="36"/>
      <c r="O58" s="36"/>
      <c r="P58" s="36"/>
    </row>
    <row r="59" s="36" customFormat="1" ht="14.25">
      <c r="A59" s="76"/>
      <c r="B59" s="83" t="s">
        <v>161</v>
      </c>
      <c r="C59" s="84" t="s">
        <v>162</v>
      </c>
      <c r="D59" s="85" t="s">
        <v>163</v>
      </c>
      <c r="E59" s="85" t="s">
        <v>30</v>
      </c>
      <c r="F59" s="41">
        <v>7.0999999999999996</v>
      </c>
      <c r="G59" s="47" t="s">
        <v>164</v>
      </c>
      <c r="H59" s="42">
        <v>46190</v>
      </c>
      <c r="I59" s="42">
        <v>46191</v>
      </c>
      <c r="J59" s="48"/>
      <c r="K59" s="48"/>
      <c r="L59" s="76"/>
      <c r="M59" s="36"/>
    </row>
    <row r="60" s="36" customFormat="1" ht="14.25">
      <c r="A60" s="76"/>
      <c r="B60" s="83" t="s">
        <v>165</v>
      </c>
      <c r="C60" s="84" t="s">
        <v>166</v>
      </c>
      <c r="D60" s="85" t="s">
        <v>30</v>
      </c>
      <c r="E60" s="85" t="s">
        <v>30</v>
      </c>
      <c r="F60" s="41" t="s">
        <v>167</v>
      </c>
      <c r="G60" s="47" t="s">
        <v>164</v>
      </c>
      <c r="H60" s="42">
        <v>46191</v>
      </c>
      <c r="I60" s="42">
        <v>46192</v>
      </c>
      <c r="J60" s="48"/>
      <c r="K60" s="48"/>
      <c r="L60" s="76"/>
      <c r="M60" s="36"/>
    </row>
    <row r="61" s="36" customFormat="1" ht="14.25">
      <c r="A61" s="36"/>
      <c r="B61" s="36"/>
      <c r="C61" s="36"/>
      <c r="D61" s="36"/>
      <c r="E61" s="36"/>
      <c r="F61" s="36"/>
      <c r="G61" s="36"/>
      <c r="H61" s="36"/>
      <c r="I61" s="36"/>
      <c r="J61" s="36"/>
      <c r="K61" s="36"/>
      <c r="L61" s="36"/>
      <c r="M61" s="36"/>
    </row>
    <row r="62" s="36" customFormat="1" ht="14.25">
      <c r="A62" s="36"/>
      <c r="B62" s="36"/>
      <c r="C62" s="36"/>
      <c r="D62" s="36"/>
      <c r="E62" s="36"/>
      <c r="F62" s="36"/>
      <c r="G62" s="36"/>
      <c r="H62" s="36"/>
      <c r="I62" s="36"/>
      <c r="J62" s="36"/>
      <c r="K62" s="36"/>
      <c r="L62" s="36"/>
      <c r="M62" s="36"/>
    </row>
    <row r="63" s="36" customFormat="1" ht="14.25">
      <c r="A63" s="36"/>
      <c r="B63" s="36"/>
      <c r="C63" s="36"/>
      <c r="D63" s="36"/>
      <c r="E63" s="36"/>
      <c r="F63" s="36"/>
      <c r="G63" s="36"/>
      <c r="H63" s="36"/>
      <c r="I63" s="36"/>
      <c r="J63" s="36"/>
      <c r="K63" s="36"/>
      <c r="L63" s="36"/>
      <c r="M63" s="36"/>
    </row>
    <row r="64" s="36" customFormat="1" ht="14.25">
      <c r="A64" s="36"/>
      <c r="B64" s="36"/>
      <c r="C64" s="36"/>
      <c r="D64" s="36"/>
      <c r="E64" s="36"/>
      <c r="F64" s="36"/>
      <c r="G64" s="36"/>
      <c r="H64" s="36"/>
      <c r="I64" s="36"/>
      <c r="J64" s="36"/>
      <c r="K64" s="36"/>
      <c r="L64" s="36"/>
      <c r="M64" s="36"/>
    </row>
    <row r="65" s="36" customFormat="1" ht="14.25">
      <c r="A65" s="36"/>
      <c r="B65" s="36"/>
      <c r="C65" s="36"/>
      <c r="D65" s="36"/>
      <c r="E65" s="36"/>
      <c r="F65" s="36"/>
      <c r="G65" s="36"/>
      <c r="H65" s="36"/>
      <c r="I65" s="36"/>
      <c r="J65" s="36"/>
      <c r="K65" s="36"/>
      <c r="L65" s="36"/>
      <c r="M65" s="36"/>
    </row>
    <row r="66" s="36" customFormat="1" ht="14.25">
      <c r="A66" s="36"/>
      <c r="B66" s="36"/>
      <c r="C66" s="36"/>
      <c r="D66" s="36"/>
      <c r="E66" s="36"/>
      <c r="F66" s="36"/>
      <c r="G66" s="36"/>
      <c r="H66" s="36"/>
      <c r="I66" s="36"/>
      <c r="J66" s="36"/>
      <c r="K66" s="36"/>
      <c r="L66" s="36"/>
      <c r="M66" s="36"/>
    </row>
    <row r="67" s="36" customFormat="1" ht="14.25">
      <c r="A67" s="36"/>
      <c r="B67" s="36"/>
      <c r="C67" s="36"/>
      <c r="D67" s="36"/>
      <c r="E67" s="36"/>
      <c r="F67" s="36"/>
      <c r="G67" s="36"/>
      <c r="H67" s="36"/>
      <c r="I67" s="36"/>
      <c r="J67" s="36"/>
      <c r="K67" s="36"/>
      <c r="L67" s="36"/>
      <c r="M67" s="36"/>
    </row>
    <row r="68" s="36" customFormat="1" ht="14.25">
      <c r="A68" s="36"/>
      <c r="B68" s="36"/>
      <c r="C68" s="36"/>
      <c r="D68" s="36"/>
      <c r="E68" s="36"/>
      <c r="F68" s="36"/>
      <c r="G68" s="36"/>
      <c r="H68" s="36"/>
      <c r="I68" s="36"/>
      <c r="J68" s="36"/>
      <c r="K68" s="36"/>
      <c r="L68" s="36"/>
      <c r="M68" s="36"/>
    </row>
    <row r="69" s="36" customFormat="1" ht="14.25">
      <c r="A69" s="36"/>
      <c r="B69" s="36"/>
      <c r="C69" s="36"/>
      <c r="D69" s="36"/>
      <c r="E69" s="36"/>
      <c r="F69" s="36"/>
      <c r="G69" s="36"/>
      <c r="H69" s="36"/>
      <c r="I69" s="36"/>
      <c r="J69" s="36"/>
      <c r="K69" s="36"/>
      <c r="L69" s="36"/>
      <c r="M69" s="36"/>
    </row>
    <row r="70" s="36" customFormat="1" ht="14.25">
      <c r="A70" s="36"/>
      <c r="B70" s="36"/>
      <c r="C70" s="36"/>
      <c r="D70" s="36"/>
      <c r="E70" s="36"/>
      <c r="F70" s="36"/>
      <c r="G70" s="36"/>
      <c r="H70" s="36"/>
      <c r="I70" s="36"/>
      <c r="J70" s="36"/>
      <c r="K70" s="36"/>
      <c r="L70" s="36"/>
      <c r="M70" s="36"/>
    </row>
    <row r="71" s="36" customFormat="1" ht="14.25">
      <c r="A71" s="36"/>
      <c r="B71" s="36"/>
      <c r="C71" s="36"/>
      <c r="D71" s="36"/>
      <c r="E71" s="36"/>
      <c r="F71" s="36"/>
      <c r="G71" s="36"/>
      <c r="H71" s="36"/>
      <c r="I71" s="36"/>
      <c r="J71" s="36"/>
      <c r="K71" s="36"/>
      <c r="L71" s="36"/>
      <c r="M71" s="36"/>
    </row>
    <row r="72" s="36" customFormat="1" ht="14.25">
      <c r="A72" s="36"/>
      <c r="B72" s="36"/>
      <c r="C72" s="36"/>
      <c r="D72" s="36"/>
      <c r="E72" s="36"/>
      <c r="F72" s="36"/>
      <c r="G72" s="36"/>
      <c r="H72" s="36"/>
      <c r="I72" s="36"/>
      <c r="J72" s="36"/>
      <c r="K72" s="36"/>
      <c r="L72" s="36"/>
      <c r="M72" s="36"/>
    </row>
    <row r="73" s="36" customFormat="1" ht="14.25">
      <c r="A73" s="36"/>
      <c r="B73" s="36"/>
      <c r="C73" s="36"/>
      <c r="D73" s="36"/>
      <c r="E73" s="36"/>
      <c r="F73" s="36"/>
      <c r="G73" s="36"/>
      <c r="H73" s="36"/>
      <c r="I73" s="36"/>
      <c r="J73" s="36"/>
      <c r="K73" s="36"/>
      <c r="L73" s="36"/>
      <c r="M73" s="36"/>
    </row>
    <row r="74" s="36" customFormat="1" ht="14.25">
      <c r="A74" s="36"/>
      <c r="B74" s="36"/>
      <c r="C74" s="36"/>
      <c r="D74" s="36"/>
      <c r="E74" s="36"/>
      <c r="F74" s="36"/>
      <c r="G74" s="36"/>
      <c r="H74" s="36"/>
      <c r="I74" s="36"/>
      <c r="J74" s="36"/>
      <c r="K74" s="36"/>
      <c r="L74" s="36"/>
      <c r="M74" s="36"/>
    </row>
    <row r="75" s="36" customFormat="1" ht="14.25">
      <c r="A75" s="36"/>
      <c r="B75" s="36"/>
      <c r="C75" s="36"/>
      <c r="D75" s="36"/>
      <c r="E75" s="36"/>
      <c r="F75" s="36"/>
      <c r="G75" s="36"/>
      <c r="H75" s="36"/>
      <c r="I75" s="36"/>
      <c r="J75" s="36"/>
      <c r="K75" s="36"/>
      <c r="L75" s="36"/>
      <c r="M75" s="36"/>
    </row>
    <row r="76" s="36" customFormat="1" ht="14.25">
      <c r="A76" s="36"/>
      <c r="B76" s="36"/>
      <c r="C76" s="36"/>
      <c r="D76" s="36"/>
      <c r="E76" s="36"/>
      <c r="F76" s="36"/>
      <c r="G76" s="36"/>
      <c r="H76" s="36"/>
      <c r="I76" s="36"/>
      <c r="J76" s="36"/>
      <c r="K76" s="36"/>
      <c r="L76" s="36"/>
      <c r="M76" s="36"/>
    </row>
    <row r="77" s="36" customFormat="1" ht="14.25">
      <c r="A77" s="36"/>
      <c r="B77" s="36"/>
      <c r="C77" s="36"/>
      <c r="D77" s="36"/>
      <c r="E77" s="36"/>
      <c r="F77" s="36"/>
      <c r="G77" s="36"/>
      <c r="H77" s="36"/>
      <c r="I77" s="36"/>
      <c r="J77" s="36"/>
      <c r="K77" s="36"/>
      <c r="L77" s="36"/>
      <c r="M77" s="36"/>
    </row>
    <row r="78" s="36" customFormat="1" ht="14.25">
      <c r="A78" s="36"/>
      <c r="B78" s="36"/>
      <c r="C78" s="36"/>
      <c r="D78" s="36"/>
      <c r="E78" s="36"/>
      <c r="F78" s="36"/>
      <c r="G78" s="36"/>
      <c r="H78" s="36"/>
      <c r="I78" s="36"/>
      <c r="J78" s="36"/>
      <c r="K78" s="36"/>
      <c r="L78" s="36"/>
      <c r="M78" s="36"/>
    </row>
    <row r="79" s="36" customFormat="1" ht="14.25">
      <c r="A79" s="36"/>
      <c r="B79" s="36"/>
      <c r="C79" s="36"/>
      <c r="D79" s="36"/>
      <c r="E79" s="36"/>
      <c r="F79" s="36"/>
      <c r="G79" s="36"/>
      <c r="H79" s="36"/>
      <c r="I79" s="36"/>
      <c r="J79" s="36"/>
      <c r="K79" s="36"/>
      <c r="L79" s="36"/>
      <c r="M79" s="36"/>
    </row>
    <row r="80" s="36" customFormat="1" ht="14.25">
      <c r="A80" s="36"/>
      <c r="B80" s="36"/>
      <c r="C80" s="36"/>
      <c r="D80" s="36"/>
      <c r="E80" s="36"/>
      <c r="F80" s="36"/>
      <c r="G80" s="36"/>
      <c r="H80" s="36"/>
      <c r="I80" s="36"/>
      <c r="J80" s="36"/>
      <c r="K80" s="36"/>
      <c r="L80" s="36"/>
      <c r="M80" s="36"/>
    </row>
    <row r="81" s="36" customFormat="1" ht="14.25">
      <c r="A81" s="36"/>
      <c r="B81" s="36"/>
      <c r="C81" s="36"/>
      <c r="D81" s="36"/>
      <c r="E81" s="36"/>
      <c r="F81" s="36"/>
      <c r="G81" s="36"/>
      <c r="H81" s="36"/>
      <c r="I81" s="36"/>
      <c r="J81" s="36"/>
      <c r="K81" s="36"/>
      <c r="L81" s="36"/>
      <c r="M81" s="36"/>
    </row>
    <row r="82" s="36" customFormat="1" ht="14.25">
      <c r="A82" s="36"/>
      <c r="B82" s="36"/>
      <c r="C82" s="36"/>
      <c r="D82" s="36"/>
      <c r="E82" s="36"/>
      <c r="F82" s="36"/>
      <c r="G82" s="36"/>
      <c r="H82" s="36"/>
      <c r="I82" s="36"/>
      <c r="J82" s="36"/>
      <c r="K82" s="36"/>
      <c r="L82" s="36"/>
      <c r="M82" s="36"/>
    </row>
    <row r="83" s="36" customFormat="1" ht="14.25">
      <c r="A83" s="36"/>
      <c r="B83" s="36"/>
      <c r="C83" s="36"/>
      <c r="D83" s="36"/>
      <c r="E83" s="36"/>
      <c r="F83" s="36"/>
      <c r="G83" s="36"/>
      <c r="H83" s="36"/>
      <c r="I83" s="36"/>
      <c r="J83" s="36"/>
      <c r="K83" s="36"/>
      <c r="L83" s="36"/>
      <c r="M83" s="36"/>
    </row>
    <row r="84" s="36" customFormat="1" ht="14.25">
      <c r="A84" s="36"/>
      <c r="B84" s="36"/>
      <c r="C84" s="36"/>
      <c r="D84" s="36"/>
      <c r="E84" s="36"/>
      <c r="F84" s="36"/>
      <c r="G84" s="36"/>
      <c r="H84" s="36"/>
      <c r="I84" s="36"/>
      <c r="J84" s="36"/>
      <c r="K84" s="36"/>
      <c r="L84" s="36"/>
      <c r="M84" s="36"/>
    </row>
    <row r="85" s="36" customFormat="1" ht="14.25">
      <c r="A85" s="36"/>
      <c r="B85" s="36"/>
      <c r="C85" s="36"/>
      <c r="D85" s="36"/>
      <c r="E85" s="36"/>
      <c r="F85" s="36"/>
      <c r="G85" s="36"/>
      <c r="H85" s="36"/>
      <c r="I85" s="36"/>
      <c r="J85" s="36"/>
      <c r="K85" s="36"/>
      <c r="L85" s="36"/>
      <c r="M85" s="36"/>
    </row>
    <row r="86" s="36" customFormat="1" ht="14.25">
      <c r="A86" s="36"/>
      <c r="B86" s="36"/>
      <c r="C86" s="36"/>
      <c r="D86" s="36"/>
      <c r="E86" s="36"/>
      <c r="F86" s="36"/>
      <c r="G86" s="36"/>
      <c r="H86" s="36"/>
      <c r="I86" s="36"/>
      <c r="J86" s="36"/>
      <c r="K86" s="36"/>
      <c r="L86" s="36"/>
      <c r="M86" s="36"/>
    </row>
    <row r="87" s="36" customFormat="1" ht="14.25">
      <c r="A87" s="36"/>
      <c r="B87" s="36"/>
      <c r="C87" s="36"/>
      <c r="D87" s="36"/>
      <c r="E87" s="36"/>
      <c r="F87" s="36"/>
      <c r="G87" s="36"/>
      <c r="H87" s="36"/>
      <c r="I87" s="36"/>
      <c r="J87" s="36"/>
      <c r="K87" s="36"/>
      <c r="L87" s="36"/>
      <c r="M87" s="36"/>
    </row>
    <row r="88" s="36" customFormat="1" ht="14.25">
      <c r="A88" s="36"/>
      <c r="B88" s="36"/>
      <c r="C88" s="36"/>
      <c r="D88" s="36"/>
      <c r="E88" s="36"/>
      <c r="F88" s="36"/>
      <c r="G88" s="36"/>
      <c r="H88" s="36"/>
      <c r="I88" s="36"/>
      <c r="J88" s="36"/>
      <c r="K88" s="36"/>
      <c r="L88" s="36"/>
      <c r="M88" s="36"/>
    </row>
    <row r="89" ht="14.25">
      <c r="B89" s="1"/>
    </row>
    <row r="90" ht="14.25">
      <c r="B90" s="1"/>
    </row>
    <row r="91" ht="14.25">
      <c r="B91" s="1"/>
    </row>
    <row r="92" ht="14.25">
      <c r="B92" s="1"/>
    </row>
    <row r="93" ht="14.25">
      <c r="B93" s="1"/>
    </row>
    <row r="94" ht="14.25">
      <c r="B94" s="1"/>
    </row>
  </sheetData>
  <mergeCells count="3">
    <mergeCell ref="I2:K2"/>
    <mergeCell ref="I3:K6"/>
    <mergeCell ref="B8:K8"/>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31" zoomScale="100" workbookViewId="0">
      <selection activeCell="A1" activeCellId="0" sqref="A1"/>
    </sheetView>
  </sheetViews>
  <sheetFormatPr defaultRowHeight="14.25"/>
  <cols>
    <col customWidth="1" min="1" max="16384" width="2.9609375"/>
  </cols>
  <sheetData>
    <row r="2" ht="16.5">
      <c r="B2" s="106" t="s">
        <v>295</v>
      </c>
    </row>
    <row r="4" ht="14.25">
      <c r="B4" s="107" t="s">
        <v>296</v>
      </c>
      <c r="C4" s="108"/>
      <c r="D4" s="108"/>
      <c r="E4" s="108"/>
      <c r="F4" s="109"/>
      <c r="G4" s="110" t="s">
        <v>297</v>
      </c>
      <c r="H4" s="110"/>
      <c r="I4" s="110"/>
      <c r="J4" s="110"/>
      <c r="K4" s="110"/>
      <c r="L4" s="110"/>
      <c r="M4" s="110"/>
      <c r="N4" s="110"/>
      <c r="O4" s="110"/>
      <c r="P4" s="110"/>
      <c r="Q4" s="110"/>
      <c r="R4" s="110"/>
      <c r="S4" s="110"/>
      <c r="T4" s="111"/>
    </row>
    <row r="5" ht="14.25">
      <c r="B5" s="112" t="s">
        <v>298</v>
      </c>
      <c r="C5" s="113"/>
      <c r="D5" s="113"/>
      <c r="E5" s="113"/>
      <c r="F5" s="114"/>
      <c r="G5" t="s">
        <v>299</v>
      </c>
      <c r="H5"/>
      <c r="I5"/>
      <c r="J5"/>
      <c r="K5"/>
      <c r="L5"/>
      <c r="M5"/>
      <c r="N5"/>
      <c r="O5"/>
      <c r="P5"/>
      <c r="Q5"/>
      <c r="R5"/>
      <c r="S5"/>
      <c r="T5" s="115"/>
    </row>
    <row r="6" ht="14.25">
      <c r="B6" s="112" t="s">
        <v>300</v>
      </c>
      <c r="C6" s="113"/>
      <c r="D6" s="113"/>
      <c r="E6" s="113"/>
      <c r="F6" s="114"/>
      <c r="G6" t="s">
        <v>301</v>
      </c>
      <c r="H6"/>
      <c r="I6"/>
      <c r="J6"/>
      <c r="K6"/>
      <c r="L6"/>
      <c r="M6"/>
      <c r="N6"/>
      <c r="O6"/>
      <c r="P6"/>
      <c r="Q6"/>
      <c r="R6"/>
      <c r="S6"/>
      <c r="T6" s="115"/>
    </row>
    <row r="7" ht="14.25">
      <c r="B7" s="112" t="s">
        <v>302</v>
      </c>
      <c r="C7" s="113"/>
      <c r="D7" s="113"/>
      <c r="E7" s="113"/>
      <c r="F7" s="114"/>
      <c r="G7" t="s">
        <v>303</v>
      </c>
      <c r="H7"/>
      <c r="I7"/>
      <c r="J7"/>
      <c r="K7"/>
      <c r="L7"/>
      <c r="M7"/>
      <c r="N7"/>
      <c r="O7"/>
      <c r="P7"/>
      <c r="Q7"/>
      <c r="R7"/>
      <c r="S7"/>
      <c r="T7" s="115"/>
    </row>
    <row r="8" ht="14.25">
      <c r="B8" s="112" t="s">
        <v>304</v>
      </c>
      <c r="C8" s="113"/>
      <c r="D8" s="113"/>
      <c r="E8" s="113"/>
      <c r="F8" s="114"/>
      <c r="G8" t="s">
        <v>305</v>
      </c>
      <c r="H8"/>
      <c r="I8"/>
      <c r="J8"/>
      <c r="K8"/>
      <c r="L8"/>
      <c r="M8"/>
      <c r="N8"/>
      <c r="O8"/>
      <c r="P8"/>
      <c r="Q8"/>
      <c r="R8"/>
      <c r="S8"/>
      <c r="T8" s="115"/>
    </row>
    <row r="9" ht="14.25">
      <c r="B9" s="116" t="s">
        <v>306</v>
      </c>
      <c r="C9" s="117"/>
      <c r="D9" s="117"/>
      <c r="E9" s="117"/>
      <c r="F9" s="118"/>
      <c r="G9" s="119" t="s">
        <v>307</v>
      </c>
      <c r="H9" s="119"/>
      <c r="I9" s="119"/>
      <c r="J9" s="119"/>
      <c r="K9" s="119"/>
      <c r="L9" s="119"/>
      <c r="M9" s="119"/>
      <c r="N9" s="119"/>
      <c r="O9" s="119"/>
      <c r="P9" s="119"/>
      <c r="Q9" s="119"/>
      <c r="R9" s="119"/>
      <c r="S9" s="119"/>
      <c r="T9" s="120"/>
    </row>
    <row r="11" ht="16.5">
      <c r="B11" s="106" t="s">
        <v>308</v>
      </c>
    </row>
    <row r="13" ht="14.25">
      <c r="B13" s="121" t="s">
        <v>309</v>
      </c>
      <c r="C13" s="122"/>
      <c r="D13" s="123"/>
      <c r="E13" s="110" t="s">
        <v>310</v>
      </c>
      <c r="F13" s="110"/>
      <c r="G13" s="110"/>
      <c r="H13" s="110"/>
      <c r="I13" s="111"/>
    </row>
    <row r="14" ht="14.25">
      <c r="B14" s="124" t="s">
        <v>311</v>
      </c>
      <c r="C14" s="125"/>
      <c r="D14" s="126"/>
      <c r="E14" s="127" t="s">
        <v>312</v>
      </c>
      <c r="F14" s="127"/>
      <c r="G14" s="127"/>
      <c r="H14" s="127"/>
      <c r="I14" s="128"/>
      <c r="J14" s="127"/>
      <c r="K14" s="127" t="s">
        <v>313</v>
      </c>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row>
    <row r="15" ht="14.25">
      <c r="B15" s="129" t="s">
        <v>314</v>
      </c>
      <c r="C15" s="130"/>
      <c r="D15" s="131"/>
      <c r="E15" t="s">
        <v>315</v>
      </c>
      <c r="F15"/>
      <c r="G15"/>
      <c r="H15"/>
      <c r="I15" s="115"/>
    </row>
    <row r="16" ht="14.25">
      <c r="B16" s="132" t="s">
        <v>316</v>
      </c>
      <c r="C16" s="133"/>
      <c r="D16" s="134"/>
      <c r="E16" s="119" t="s">
        <v>317</v>
      </c>
      <c r="F16" s="119"/>
      <c r="G16" s="119"/>
      <c r="H16" s="119"/>
      <c r="I16" s="120"/>
    </row>
    <row r="18" ht="16.5">
      <c r="B18" s="106" t="s">
        <v>318</v>
      </c>
    </row>
    <row r="20" ht="14.25">
      <c r="B20" s="135" t="s">
        <v>319</v>
      </c>
    </row>
    <row r="21" ht="14.25">
      <c r="C21" t="s">
        <v>320</v>
      </c>
    </row>
    <row r="22" ht="14.25">
      <c r="B22" t="s">
        <v>321</v>
      </c>
    </row>
    <row r="24" ht="14.25">
      <c r="B24" s="135" t="s">
        <v>322</v>
      </c>
    </row>
    <row r="26" ht="14.25">
      <c r="B26" s="135" t="s">
        <v>323</v>
      </c>
    </row>
    <row r="28" ht="14.25">
      <c r="B28" s="135" t="s">
        <v>324</v>
      </c>
    </row>
    <row r="30" ht="14.25">
      <c r="B30" s="135" t="s">
        <v>325</v>
      </c>
    </row>
    <row r="32" ht="16.5">
      <c r="B32" s="106" t="s">
        <v>326</v>
      </c>
    </row>
    <row r="34" ht="14.25">
      <c r="B34" t="s">
        <v>327</v>
      </c>
    </row>
    <row r="35" ht="14.25">
      <c r="B35" t="s">
        <v>328</v>
      </c>
    </row>
    <row r="36" ht="14.25">
      <c r="B36" t="s">
        <v>329</v>
      </c>
    </row>
    <row r="37" ht="14.25">
      <c r="B37" t="s">
        <v>330</v>
      </c>
    </row>
    <row r="39" ht="14.25">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row>
    <row r="40" ht="14.25">
      <c r="B40" s="130" t="s">
        <v>331</v>
      </c>
    </row>
    <row r="42" ht="14.25">
      <c r="B42" t="s">
        <v>332</v>
      </c>
    </row>
    <row r="43" ht="14.25">
      <c r="C43" t="s">
        <v>333</v>
      </c>
    </row>
    <row r="44" ht="14.25">
      <c r="C44" t="s">
        <v>334</v>
      </c>
    </row>
    <row r="45" ht="14.25">
      <c r="C45" t="s">
        <v>335</v>
      </c>
    </row>
    <row r="46" ht="14.25">
      <c r="C46" t="s">
        <v>336</v>
      </c>
    </row>
    <row r="47" ht="14.25">
      <c r="C47" t="s">
        <v>337</v>
      </c>
    </row>
    <row r="49" ht="14.25">
      <c r="B49" t="s">
        <v>338</v>
      </c>
    </row>
    <row r="50" ht="14.25">
      <c r="C50" t="s">
        <v>339</v>
      </c>
    </row>
    <row r="51" ht="14.25">
      <c r="C51" s="135" t="s">
        <v>340</v>
      </c>
    </row>
    <row r="52" ht="14.25">
      <c r="C52" s="135" t="s">
        <v>341</v>
      </c>
    </row>
    <row r="53" ht="14.25">
      <c r="C53" s="135" t="s">
        <v>342</v>
      </c>
    </row>
    <row r="55" ht="14.25">
      <c r="B55" s="130" t="s">
        <v>343</v>
      </c>
    </row>
    <row r="57" ht="14.25">
      <c r="B57" s="137" t="s">
        <v>344</v>
      </c>
      <c r="C57" s="138"/>
      <c r="D57" s="138"/>
      <c r="E57" s="138"/>
      <c r="F57" s="138"/>
      <c r="G57" s="138"/>
      <c r="H57" s="139"/>
      <c r="I57" s="137" t="s">
        <v>345</v>
      </c>
      <c r="J57" s="138"/>
      <c r="K57" s="138"/>
      <c r="L57" s="138"/>
      <c r="M57" s="138"/>
      <c r="N57" s="138"/>
      <c r="O57" s="138"/>
      <c r="P57" s="138"/>
      <c r="Q57" s="139"/>
      <c r="R57" s="137" t="s">
        <v>346</v>
      </c>
      <c r="S57" s="138"/>
      <c r="T57" s="138"/>
      <c r="U57" s="138"/>
      <c r="V57" s="138"/>
      <c r="W57" s="138"/>
      <c r="X57" s="138"/>
      <c r="Y57" s="138"/>
      <c r="Z57" s="139"/>
      <c r="AA57" s="137" t="s">
        <v>347</v>
      </c>
      <c r="AB57" s="138"/>
      <c r="AC57" s="138"/>
      <c r="AD57" s="138"/>
      <c r="AE57" s="138"/>
      <c r="AF57" s="138"/>
      <c r="AG57" s="138"/>
      <c r="AH57" s="138"/>
      <c r="AI57" s="139"/>
      <c r="AJ57" s="138" t="s">
        <v>348</v>
      </c>
      <c r="AK57" s="138"/>
      <c r="AL57" s="138"/>
      <c r="AM57" s="138"/>
      <c r="AN57" s="138"/>
      <c r="AO57" s="139"/>
      <c r="AP57" s="140"/>
    </row>
    <row r="58" ht="14.25">
      <c r="B58" s="141" t="s">
        <v>349</v>
      </c>
      <c r="C58" s="142"/>
      <c r="D58" s="142"/>
      <c r="E58" s="142"/>
      <c r="F58" s="142"/>
      <c r="G58" s="142"/>
      <c r="H58" s="143"/>
      <c r="I58" s="144" t="s">
        <v>350</v>
      </c>
      <c r="J58" s="145"/>
      <c r="K58" s="145"/>
      <c r="L58" s="145"/>
      <c r="M58" s="145"/>
      <c r="N58" s="145"/>
      <c r="O58" s="145"/>
      <c r="P58" s="145"/>
      <c r="Q58" s="146"/>
      <c r="R58" s="144" t="s">
        <v>351</v>
      </c>
      <c r="S58" s="145"/>
      <c r="T58" s="145"/>
      <c r="U58" s="145"/>
      <c r="V58" s="145"/>
      <c r="W58" s="145"/>
      <c r="X58" s="145"/>
      <c r="Y58" s="145"/>
      <c r="Z58" s="146"/>
      <c r="AA58" s="144" t="s">
        <v>352</v>
      </c>
      <c r="AB58" s="145"/>
      <c r="AC58" s="145"/>
      <c r="AD58" s="145"/>
      <c r="AE58" s="145"/>
      <c r="AF58" s="145"/>
      <c r="AG58" s="145"/>
      <c r="AH58" s="145"/>
      <c r="AI58" s="146"/>
      <c r="AJ58" s="147" t="s">
        <v>353</v>
      </c>
      <c r="AK58" s="142"/>
      <c r="AL58" s="142"/>
      <c r="AM58" s="142"/>
      <c r="AN58" s="142"/>
      <c r="AO58" s="143"/>
      <c r="AP58" s="140"/>
    </row>
    <row r="59" ht="14.25">
      <c r="B59" s="148"/>
      <c r="C59"/>
      <c r="D59"/>
      <c r="E59"/>
      <c r="F59"/>
      <c r="G59"/>
      <c r="H59" s="149"/>
      <c r="I59" s="150"/>
      <c r="J59" s="151"/>
      <c r="K59" s="151"/>
      <c r="L59" s="151"/>
      <c r="M59" s="151"/>
      <c r="N59" s="151"/>
      <c r="O59" s="151"/>
      <c r="P59" s="151"/>
      <c r="Q59" s="152"/>
      <c r="R59" s="150"/>
      <c r="S59" s="151"/>
      <c r="T59" s="151"/>
      <c r="U59" s="151"/>
      <c r="V59" s="151"/>
      <c r="W59" s="151"/>
      <c r="X59" s="151"/>
      <c r="Y59" s="151"/>
      <c r="Z59" s="152"/>
      <c r="AA59" s="150"/>
      <c r="AB59" s="151"/>
      <c r="AC59" s="151"/>
      <c r="AD59" s="151"/>
      <c r="AE59" s="151"/>
      <c r="AF59" s="151"/>
      <c r="AG59" s="151"/>
      <c r="AH59" s="151"/>
      <c r="AI59" s="152"/>
      <c r="AJ59"/>
      <c r="AK59"/>
      <c r="AL59"/>
      <c r="AM59"/>
      <c r="AN59"/>
      <c r="AO59" s="149"/>
      <c r="AP59" s="140"/>
    </row>
    <row r="60" ht="14.25">
      <c r="B60" s="153"/>
      <c r="C60" s="154"/>
      <c r="D60" s="154"/>
      <c r="E60" s="154"/>
      <c r="F60" s="154"/>
      <c r="G60" s="154"/>
      <c r="H60" s="155"/>
      <c r="I60" s="153"/>
      <c r="J60" s="154"/>
      <c r="K60" s="154"/>
      <c r="L60" s="154"/>
      <c r="M60" s="154"/>
      <c r="N60" s="154"/>
      <c r="O60" s="154"/>
      <c r="P60" s="154"/>
      <c r="Q60" s="155"/>
      <c r="R60" s="153"/>
      <c r="S60" s="154"/>
      <c r="T60" s="154"/>
      <c r="U60" s="154"/>
      <c r="V60" s="154"/>
      <c r="W60" s="154"/>
      <c r="X60" s="154"/>
      <c r="Y60" s="154"/>
      <c r="Z60" s="155"/>
      <c r="AA60" s="156"/>
      <c r="AB60" s="157"/>
      <c r="AC60" s="157"/>
      <c r="AD60" s="157"/>
      <c r="AE60" s="157"/>
      <c r="AF60" s="157"/>
      <c r="AG60" s="157"/>
      <c r="AH60" s="157"/>
      <c r="AI60" s="158"/>
      <c r="AJ60" s="154"/>
      <c r="AK60" s="154"/>
      <c r="AL60" s="154"/>
      <c r="AM60" s="154"/>
      <c r="AN60" s="154"/>
      <c r="AO60" s="155"/>
      <c r="AP60" s="140"/>
    </row>
    <row r="61" ht="14.25">
      <c r="B61" s="141" t="s">
        <v>354</v>
      </c>
      <c r="C61" s="142"/>
      <c r="D61" s="142"/>
      <c r="E61" s="142"/>
      <c r="F61" s="142"/>
      <c r="G61" s="142"/>
      <c r="H61" s="143"/>
      <c r="I61" s="144" t="s">
        <v>355</v>
      </c>
      <c r="J61" s="145"/>
      <c r="K61" s="145"/>
      <c r="L61" s="145"/>
      <c r="M61" s="145"/>
      <c r="N61" s="145"/>
      <c r="O61" s="145"/>
      <c r="P61" s="145"/>
      <c r="Q61" s="146"/>
      <c r="R61" s="141" t="s">
        <v>356</v>
      </c>
      <c r="S61" s="142"/>
      <c r="T61" s="142"/>
      <c r="U61" s="142"/>
      <c r="V61" s="142"/>
      <c r="W61" s="142"/>
      <c r="X61" s="142"/>
      <c r="Y61" s="142"/>
      <c r="Z61" s="143"/>
      <c r="AA61" s="141" t="s">
        <v>357</v>
      </c>
      <c r="AB61" s="142"/>
      <c r="AC61" s="142"/>
      <c r="AD61" s="142"/>
      <c r="AE61" s="142"/>
      <c r="AF61" s="142"/>
      <c r="AG61" s="142"/>
      <c r="AH61" s="142"/>
      <c r="AI61" s="143"/>
      <c r="AJ61" s="147" t="s">
        <v>358</v>
      </c>
      <c r="AK61" s="142"/>
      <c r="AL61" s="142"/>
      <c r="AM61" s="142"/>
      <c r="AN61" s="142"/>
      <c r="AO61" s="143"/>
      <c r="AP61" s="140"/>
    </row>
    <row r="62" ht="14.25">
      <c r="B62" s="148"/>
      <c r="C62"/>
      <c r="D62"/>
      <c r="E62"/>
      <c r="F62"/>
      <c r="G62"/>
      <c r="H62" s="149"/>
      <c r="I62" s="150"/>
      <c r="J62" s="151"/>
      <c r="K62" s="151"/>
      <c r="L62" s="151"/>
      <c r="M62" s="151"/>
      <c r="N62" s="151"/>
      <c r="O62" s="151"/>
      <c r="P62" s="151"/>
      <c r="Q62" s="152"/>
      <c r="R62" s="148"/>
      <c r="S62"/>
      <c r="T62"/>
      <c r="U62"/>
      <c r="V62"/>
      <c r="W62"/>
      <c r="X62"/>
      <c r="Y62"/>
      <c r="Z62" s="149"/>
      <c r="AA62" s="148"/>
      <c r="AB62"/>
      <c r="AC62"/>
      <c r="AD62"/>
      <c r="AE62"/>
      <c r="AF62"/>
      <c r="AG62"/>
      <c r="AH62"/>
      <c r="AI62" s="149"/>
      <c r="AJ62"/>
      <c r="AK62"/>
      <c r="AL62"/>
      <c r="AM62"/>
      <c r="AN62"/>
      <c r="AO62" s="149"/>
      <c r="AP62" s="140"/>
    </row>
    <row r="63" ht="14.25">
      <c r="B63" s="148"/>
      <c r="C63"/>
      <c r="D63"/>
      <c r="E63"/>
      <c r="F63"/>
      <c r="G63"/>
      <c r="H63" s="149"/>
      <c r="I63" s="150"/>
      <c r="J63" s="151"/>
      <c r="K63" s="151"/>
      <c r="L63" s="151"/>
      <c r="M63" s="151"/>
      <c r="N63" s="151"/>
      <c r="O63" s="151"/>
      <c r="P63" s="151"/>
      <c r="Q63" s="152"/>
      <c r="R63" s="148"/>
      <c r="S63"/>
      <c r="T63"/>
      <c r="U63"/>
      <c r="V63"/>
      <c r="W63"/>
      <c r="X63"/>
      <c r="Y63"/>
      <c r="Z63" s="149"/>
      <c r="AA63" s="148"/>
      <c r="AB63"/>
      <c r="AC63"/>
      <c r="AD63"/>
      <c r="AE63"/>
      <c r="AF63"/>
      <c r="AG63"/>
      <c r="AH63"/>
      <c r="AI63" s="149"/>
      <c r="AJ63"/>
      <c r="AK63"/>
      <c r="AL63"/>
      <c r="AM63"/>
      <c r="AN63"/>
      <c r="AO63" s="149"/>
      <c r="AP63" s="140"/>
    </row>
    <row r="64" ht="14.25">
      <c r="B64" s="148"/>
      <c r="C64"/>
      <c r="D64"/>
      <c r="E64"/>
      <c r="F64"/>
      <c r="G64"/>
      <c r="H64" s="149"/>
      <c r="I64" s="150"/>
      <c r="J64" s="151"/>
      <c r="K64" s="151"/>
      <c r="L64" s="151"/>
      <c r="M64" s="151"/>
      <c r="N64" s="151"/>
      <c r="O64" s="151"/>
      <c r="P64" s="151"/>
      <c r="Q64" s="152"/>
      <c r="R64" s="148"/>
      <c r="S64"/>
      <c r="T64"/>
      <c r="U64"/>
      <c r="V64"/>
      <c r="W64"/>
      <c r="X64"/>
      <c r="Y64"/>
      <c r="Z64" s="149"/>
      <c r="AA64" s="148"/>
      <c r="AB64"/>
      <c r="AC64"/>
      <c r="AD64"/>
      <c r="AE64"/>
      <c r="AF64"/>
      <c r="AG64"/>
      <c r="AH64"/>
      <c r="AI64" s="149"/>
      <c r="AJ64"/>
      <c r="AK64"/>
      <c r="AL64"/>
      <c r="AM64"/>
      <c r="AN64"/>
      <c r="AO64" s="149"/>
      <c r="AP64" s="140"/>
    </row>
    <row r="65" ht="14.25">
      <c r="B65" s="153"/>
      <c r="C65" s="154"/>
      <c r="D65" s="154"/>
      <c r="E65" s="154"/>
      <c r="F65" s="154"/>
      <c r="G65" s="154"/>
      <c r="H65" s="155"/>
      <c r="I65" s="153"/>
      <c r="J65" s="154"/>
      <c r="K65" s="154"/>
      <c r="L65" s="154"/>
      <c r="M65" s="154"/>
      <c r="N65" s="154"/>
      <c r="O65" s="154"/>
      <c r="P65" s="154"/>
      <c r="Q65" s="155"/>
      <c r="R65" s="153"/>
      <c r="S65" s="154"/>
      <c r="T65" s="154"/>
      <c r="U65" s="154"/>
      <c r="V65" s="154"/>
      <c r="W65" s="154"/>
      <c r="X65" s="154"/>
      <c r="Y65" s="154"/>
      <c r="Z65" s="155"/>
      <c r="AA65" s="153"/>
      <c r="AB65" s="154"/>
      <c r="AC65" s="154"/>
      <c r="AD65" s="154"/>
      <c r="AE65" s="154"/>
      <c r="AF65" s="154"/>
      <c r="AG65" s="154"/>
      <c r="AH65" s="154"/>
      <c r="AI65" s="155"/>
      <c r="AJ65" s="154"/>
      <c r="AK65" s="154"/>
      <c r="AL65" s="154"/>
      <c r="AM65" s="154"/>
      <c r="AN65" s="154"/>
      <c r="AO65" s="155"/>
      <c r="AP65" s="140"/>
    </row>
    <row r="66" ht="14.25">
      <c r="B66" s="159" t="s">
        <v>359</v>
      </c>
      <c r="C66"/>
      <c r="D66"/>
      <c r="E66"/>
      <c r="F66"/>
      <c r="G66"/>
      <c r="H66" s="149"/>
      <c r="I66" s="160" t="s">
        <v>360</v>
      </c>
      <c r="J66" s="161"/>
      <c r="K66" s="161"/>
      <c r="L66" s="161"/>
      <c r="M66" s="161"/>
      <c r="N66" s="161"/>
      <c r="O66" s="161"/>
      <c r="P66" s="161"/>
      <c r="Q66" s="162"/>
      <c r="R66" s="159" t="s">
        <v>361</v>
      </c>
      <c r="S66"/>
      <c r="T66"/>
      <c r="U66"/>
      <c r="V66"/>
      <c r="W66"/>
      <c r="X66"/>
      <c r="Y66"/>
      <c r="Z66" s="149"/>
      <c r="AA66" s="160" t="s">
        <v>362</v>
      </c>
      <c r="AB66" s="161"/>
      <c r="AC66" s="161"/>
      <c r="AD66" s="161"/>
      <c r="AE66" s="161"/>
      <c r="AF66" s="161"/>
      <c r="AG66" s="161"/>
      <c r="AH66" s="161"/>
      <c r="AI66" s="162"/>
      <c r="AJ66" s="163" t="s">
        <v>363</v>
      </c>
      <c r="AK66"/>
      <c r="AL66"/>
      <c r="AM66"/>
      <c r="AN66"/>
      <c r="AO66" s="149"/>
      <c r="AP66" s="140"/>
    </row>
    <row r="67" ht="14.25">
      <c r="B67" s="148"/>
      <c r="C67"/>
      <c r="D67"/>
      <c r="E67"/>
      <c r="F67"/>
      <c r="G67"/>
      <c r="H67" s="149"/>
      <c r="I67" s="160"/>
      <c r="J67" s="161"/>
      <c r="K67" s="161"/>
      <c r="L67" s="161"/>
      <c r="M67" s="161"/>
      <c r="N67" s="161"/>
      <c r="O67" s="161"/>
      <c r="P67" s="161"/>
      <c r="Q67" s="162"/>
      <c r="R67" s="148"/>
      <c r="S67"/>
      <c r="T67"/>
      <c r="U67"/>
      <c r="V67"/>
      <c r="W67"/>
      <c r="X67"/>
      <c r="Y67"/>
      <c r="Z67" s="149"/>
      <c r="AA67" s="160"/>
      <c r="AB67" s="161"/>
      <c r="AC67" s="161"/>
      <c r="AD67" s="161"/>
      <c r="AE67" s="161"/>
      <c r="AF67" s="161"/>
      <c r="AG67" s="161"/>
      <c r="AH67" s="161"/>
      <c r="AI67" s="162"/>
      <c r="AJ67"/>
      <c r="AK67"/>
      <c r="AL67"/>
      <c r="AM67"/>
      <c r="AN67"/>
      <c r="AO67" s="149"/>
      <c r="AP67" s="140"/>
    </row>
    <row r="68" ht="14.25">
      <c r="B68" s="153"/>
      <c r="C68" s="154"/>
      <c r="D68" s="154"/>
      <c r="E68" s="154"/>
      <c r="F68" s="154"/>
      <c r="G68" s="154"/>
      <c r="H68" s="155"/>
      <c r="I68" s="153"/>
      <c r="J68" s="154"/>
      <c r="K68" s="154"/>
      <c r="L68" s="154"/>
      <c r="M68" s="154"/>
      <c r="N68" s="154"/>
      <c r="O68" s="154"/>
      <c r="P68" s="154"/>
      <c r="Q68" s="155"/>
      <c r="R68" s="153"/>
      <c r="S68" s="154"/>
      <c r="T68" s="154"/>
      <c r="U68" s="154"/>
      <c r="V68" s="154"/>
      <c r="W68" s="154"/>
      <c r="X68" s="154"/>
      <c r="Y68" s="154"/>
      <c r="Z68" s="155"/>
      <c r="AA68" s="164"/>
      <c r="AB68" s="165"/>
      <c r="AC68" s="165"/>
      <c r="AD68" s="165"/>
      <c r="AE68" s="165"/>
      <c r="AF68" s="165"/>
      <c r="AG68" s="165"/>
      <c r="AH68" s="165"/>
      <c r="AI68" s="166"/>
      <c r="AJ68" s="154"/>
      <c r="AK68" s="154"/>
      <c r="AL68" s="154"/>
      <c r="AM68" s="154"/>
      <c r="AN68" s="154"/>
      <c r="AO68" s="155"/>
    </row>
    <row r="69" ht="14.25">
      <c r="B69" s="167" t="s">
        <v>364</v>
      </c>
      <c r="C69" s="142"/>
      <c r="D69" s="142"/>
      <c r="E69" s="142"/>
      <c r="F69" s="142"/>
      <c r="G69" s="142"/>
      <c r="H69" s="142"/>
      <c r="I69" s="168" t="s">
        <v>365</v>
      </c>
      <c r="J69" s="169"/>
      <c r="K69" s="169"/>
      <c r="L69" s="169"/>
      <c r="M69" s="169"/>
      <c r="N69" s="169"/>
      <c r="O69" s="169"/>
      <c r="P69" s="169"/>
      <c r="Q69" s="170"/>
      <c r="R69" s="168" t="s">
        <v>366</v>
      </c>
      <c r="S69" s="169"/>
      <c r="T69" s="169"/>
      <c r="U69" s="169"/>
      <c r="V69" s="169"/>
      <c r="W69" s="169"/>
      <c r="X69" s="169"/>
      <c r="Y69" s="169"/>
      <c r="Z69" s="170"/>
      <c r="AA69" s="142" t="s">
        <v>367</v>
      </c>
      <c r="AB69" s="142"/>
      <c r="AC69" s="142"/>
      <c r="AD69" s="142"/>
      <c r="AE69" s="142"/>
      <c r="AF69" s="142"/>
      <c r="AG69" s="142"/>
      <c r="AH69" s="142"/>
      <c r="AI69" s="142"/>
      <c r="AJ69" s="167" t="s">
        <v>353</v>
      </c>
      <c r="AK69" s="142"/>
      <c r="AL69" s="142"/>
      <c r="AM69" s="142"/>
      <c r="AN69" s="142"/>
      <c r="AO69" s="143"/>
    </row>
    <row r="70" ht="14.25">
      <c r="B70" s="148"/>
      <c r="C70"/>
      <c r="D70"/>
      <c r="E70"/>
      <c r="F70"/>
      <c r="G70"/>
      <c r="H70"/>
      <c r="I70" s="160"/>
      <c r="J70" s="161"/>
      <c r="K70" s="161"/>
      <c r="L70" s="161"/>
      <c r="M70" s="161"/>
      <c r="N70" s="161"/>
      <c r="O70" s="161"/>
      <c r="P70" s="161"/>
      <c r="Q70" s="162"/>
      <c r="R70" s="160"/>
      <c r="S70" s="161"/>
      <c r="T70" s="161"/>
      <c r="U70" s="161"/>
      <c r="V70" s="161"/>
      <c r="W70" s="161"/>
      <c r="X70" s="161"/>
      <c r="Y70" s="161"/>
      <c r="Z70" s="162"/>
      <c r="AA70"/>
      <c r="AB70"/>
      <c r="AC70"/>
      <c r="AD70"/>
      <c r="AE70"/>
      <c r="AF70"/>
      <c r="AG70"/>
      <c r="AH70"/>
      <c r="AI70"/>
      <c r="AJ70" s="148"/>
      <c r="AK70"/>
      <c r="AL70"/>
      <c r="AM70"/>
      <c r="AN70"/>
      <c r="AO70" s="149"/>
    </row>
    <row r="71" ht="14.25">
      <c r="B71" s="148"/>
      <c r="C71"/>
      <c r="D71"/>
      <c r="E71"/>
      <c r="F71"/>
      <c r="G71"/>
      <c r="H71"/>
      <c r="I71" s="160"/>
      <c r="J71" s="161"/>
      <c r="K71" s="161"/>
      <c r="L71" s="161"/>
      <c r="M71" s="161"/>
      <c r="N71" s="161"/>
      <c r="O71" s="161"/>
      <c r="P71" s="161"/>
      <c r="Q71" s="162"/>
      <c r="R71" s="171"/>
      <c r="S71" s="172"/>
      <c r="T71" s="172"/>
      <c r="U71" s="172"/>
      <c r="V71" s="172"/>
      <c r="W71" s="172"/>
      <c r="X71" s="172"/>
      <c r="Y71" s="172"/>
      <c r="Z71" s="173"/>
      <c r="AA71"/>
      <c r="AB71"/>
      <c r="AC71"/>
      <c r="AD71"/>
      <c r="AE71"/>
      <c r="AF71"/>
      <c r="AG71"/>
      <c r="AH71"/>
      <c r="AI71"/>
      <c r="AJ71" s="148"/>
      <c r="AK71"/>
      <c r="AL71"/>
      <c r="AM71"/>
      <c r="AN71"/>
      <c r="AO71" s="149"/>
    </row>
    <row r="72" ht="14.25">
      <c r="B72" s="153"/>
      <c r="C72" s="154"/>
      <c r="D72" s="154"/>
      <c r="E72" s="154"/>
      <c r="F72" s="154"/>
      <c r="G72" s="154"/>
      <c r="H72" s="154"/>
      <c r="I72" s="174"/>
      <c r="J72" s="175"/>
      <c r="K72" s="175"/>
      <c r="L72" s="175"/>
      <c r="M72" s="175"/>
      <c r="N72" s="175"/>
      <c r="O72" s="175"/>
      <c r="P72" s="175"/>
      <c r="Q72" s="176"/>
      <c r="R72" s="153"/>
      <c r="S72" s="154"/>
      <c r="T72" s="154"/>
      <c r="U72" s="154"/>
      <c r="V72" s="154"/>
      <c r="W72" s="154"/>
      <c r="X72" s="154"/>
      <c r="Y72" s="154"/>
      <c r="Z72" s="155"/>
      <c r="AA72" s="154"/>
      <c r="AB72" s="154"/>
      <c r="AC72" s="154"/>
      <c r="AD72" s="154"/>
      <c r="AE72" s="154"/>
      <c r="AF72" s="154"/>
      <c r="AG72" s="154"/>
      <c r="AH72" s="154"/>
      <c r="AI72" s="154"/>
      <c r="AJ72" s="153"/>
      <c r="AK72" s="154"/>
      <c r="AL72" s="154"/>
      <c r="AM72" s="154"/>
      <c r="AN72" s="154"/>
      <c r="AO72" s="155"/>
    </row>
    <row r="74" ht="14.25">
      <c r="B74" s="130" t="s">
        <v>368</v>
      </c>
    </row>
    <row r="76" ht="14.25">
      <c r="B76" t="s">
        <v>369</v>
      </c>
    </row>
    <row r="78" ht="14.25">
      <c r="B78" s="177" t="s">
        <v>370</v>
      </c>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9"/>
    </row>
    <row r="79" ht="14.25">
      <c r="B79" s="180"/>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1"/>
      <c r="AJ79" s="181"/>
      <c r="AK79" s="181"/>
      <c r="AL79" s="181"/>
      <c r="AM79" s="181"/>
      <c r="AN79" s="181"/>
      <c r="AO79" s="182"/>
    </row>
    <row r="80" ht="14.25">
      <c r="B80" s="180"/>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c r="AA80" s="181"/>
      <c r="AB80" s="181"/>
      <c r="AC80" s="181"/>
      <c r="AD80" s="181"/>
      <c r="AE80" s="181"/>
      <c r="AF80" s="181"/>
      <c r="AG80" s="181"/>
      <c r="AH80" s="181"/>
      <c r="AI80" s="181"/>
      <c r="AJ80" s="181"/>
      <c r="AK80" s="181"/>
      <c r="AL80" s="181"/>
      <c r="AM80" s="181"/>
      <c r="AN80" s="181"/>
      <c r="AO80" s="182"/>
    </row>
    <row r="81" ht="14.25">
      <c r="B81" s="180"/>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1"/>
      <c r="AK81" s="181"/>
      <c r="AL81" s="181"/>
      <c r="AM81" s="181"/>
      <c r="AN81" s="181"/>
      <c r="AO81" s="182"/>
    </row>
    <row r="82" ht="14.25">
      <c r="B82" s="180"/>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c r="AA82" s="181"/>
      <c r="AB82" s="181"/>
      <c r="AC82" s="181"/>
      <c r="AD82" s="181"/>
      <c r="AE82" s="181"/>
      <c r="AF82" s="181"/>
      <c r="AG82" s="181"/>
      <c r="AH82" s="181"/>
      <c r="AI82" s="181"/>
      <c r="AJ82" s="181"/>
      <c r="AK82" s="181"/>
      <c r="AL82" s="181"/>
      <c r="AM82" s="181"/>
      <c r="AN82" s="181"/>
      <c r="AO82" s="182"/>
    </row>
    <row r="83" ht="14.25">
      <c r="B83" s="180"/>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c r="AA83" s="181"/>
      <c r="AB83" s="181"/>
      <c r="AC83" s="181"/>
      <c r="AD83" s="181"/>
      <c r="AE83" s="181"/>
      <c r="AF83" s="181"/>
      <c r="AG83" s="181"/>
      <c r="AH83" s="181"/>
      <c r="AI83" s="181"/>
      <c r="AJ83" s="181"/>
      <c r="AK83" s="181"/>
      <c r="AL83" s="181"/>
      <c r="AM83" s="181"/>
      <c r="AN83" s="181"/>
      <c r="AO83" s="182"/>
    </row>
    <row r="84" ht="14.25">
      <c r="B84" s="180"/>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c r="AA84" s="181"/>
      <c r="AB84" s="181"/>
      <c r="AC84" s="181"/>
      <c r="AD84" s="181"/>
      <c r="AE84" s="181"/>
      <c r="AF84" s="181"/>
      <c r="AG84" s="181"/>
      <c r="AH84" s="181"/>
      <c r="AI84" s="181"/>
      <c r="AJ84" s="181"/>
      <c r="AK84" s="181"/>
      <c r="AL84" s="181"/>
      <c r="AM84" s="181"/>
      <c r="AN84" s="181"/>
      <c r="AO84" s="182"/>
    </row>
    <row r="85" ht="14.25">
      <c r="B85" s="180"/>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c r="AA85" s="181"/>
      <c r="AB85" s="181"/>
      <c r="AC85" s="181"/>
      <c r="AD85" s="181"/>
      <c r="AE85" s="181"/>
      <c r="AF85" s="181"/>
      <c r="AG85" s="181"/>
      <c r="AH85" s="181"/>
      <c r="AI85" s="181"/>
      <c r="AJ85" s="181"/>
      <c r="AK85" s="181"/>
      <c r="AL85" s="181"/>
      <c r="AM85" s="181"/>
      <c r="AN85" s="181"/>
      <c r="AO85" s="182"/>
    </row>
    <row r="86" ht="14.25">
      <c r="B86" s="180"/>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c r="AA86" s="181"/>
      <c r="AB86" s="181"/>
      <c r="AC86" s="181"/>
      <c r="AD86" s="181"/>
      <c r="AE86" s="181"/>
      <c r="AF86" s="181"/>
      <c r="AG86" s="181"/>
      <c r="AH86" s="181"/>
      <c r="AI86" s="181"/>
      <c r="AJ86" s="181"/>
      <c r="AK86" s="181"/>
      <c r="AL86" s="181"/>
      <c r="AM86" s="181"/>
      <c r="AN86" s="181"/>
      <c r="AO86" s="182"/>
    </row>
    <row r="87" ht="14.25">
      <c r="B87" s="180"/>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2"/>
    </row>
    <row r="88" ht="14.25">
      <c r="B88" s="180"/>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c r="AA88" s="181"/>
      <c r="AB88" s="181"/>
      <c r="AC88" s="181"/>
      <c r="AD88" s="181"/>
      <c r="AE88" s="181"/>
      <c r="AF88" s="181"/>
      <c r="AG88" s="181"/>
      <c r="AH88" s="181"/>
      <c r="AI88" s="181"/>
      <c r="AJ88" s="181"/>
      <c r="AK88" s="181"/>
      <c r="AL88" s="181"/>
      <c r="AM88" s="181"/>
      <c r="AN88" s="181"/>
      <c r="AO88" s="182"/>
    </row>
    <row r="89" ht="14.25">
      <c r="B89" s="180"/>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c r="AA89" s="181"/>
      <c r="AB89" s="181"/>
      <c r="AC89" s="181"/>
      <c r="AD89" s="181"/>
      <c r="AE89" s="181"/>
      <c r="AF89" s="181"/>
      <c r="AG89" s="181"/>
      <c r="AH89" s="181"/>
      <c r="AI89" s="181"/>
      <c r="AJ89" s="181"/>
      <c r="AK89" s="181"/>
      <c r="AL89" s="181"/>
      <c r="AM89" s="181"/>
      <c r="AN89" s="181"/>
      <c r="AO89" s="182"/>
    </row>
    <row r="90" ht="14.25">
      <c r="B90" s="180"/>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c r="AA90" s="181"/>
      <c r="AB90" s="181"/>
      <c r="AC90" s="181"/>
      <c r="AD90" s="181"/>
      <c r="AE90" s="181"/>
      <c r="AF90" s="181"/>
      <c r="AG90" s="181"/>
      <c r="AH90" s="181"/>
      <c r="AI90" s="181"/>
      <c r="AJ90" s="181"/>
      <c r="AK90" s="181"/>
      <c r="AL90" s="181"/>
      <c r="AM90" s="181"/>
      <c r="AN90" s="181"/>
      <c r="AO90" s="182"/>
    </row>
    <row r="91" ht="14.25">
      <c r="B91" s="180"/>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c r="AA91" s="181"/>
      <c r="AB91" s="181"/>
      <c r="AC91" s="181"/>
      <c r="AD91" s="181"/>
      <c r="AE91" s="181"/>
      <c r="AF91" s="181"/>
      <c r="AG91" s="181"/>
      <c r="AH91" s="181"/>
      <c r="AI91" s="181"/>
      <c r="AJ91" s="181"/>
      <c r="AK91" s="181"/>
      <c r="AL91" s="181"/>
      <c r="AM91" s="181"/>
      <c r="AN91" s="181"/>
      <c r="AO91" s="182"/>
    </row>
    <row r="92" ht="14.25">
      <c r="B92" s="180"/>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c r="AA92" s="181"/>
      <c r="AB92" s="181"/>
      <c r="AC92" s="181"/>
      <c r="AD92" s="181"/>
      <c r="AE92" s="181"/>
      <c r="AF92" s="181"/>
      <c r="AG92" s="181"/>
      <c r="AH92" s="181"/>
      <c r="AI92" s="181"/>
      <c r="AJ92" s="181"/>
      <c r="AK92" s="181"/>
      <c r="AL92" s="181"/>
      <c r="AM92" s="181"/>
      <c r="AN92" s="181"/>
      <c r="AO92" s="182"/>
    </row>
    <row r="93" ht="14.25">
      <c r="B93" s="180"/>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c r="AC93" s="181"/>
      <c r="AD93" s="181"/>
      <c r="AE93" s="181"/>
      <c r="AF93" s="181"/>
      <c r="AG93" s="181"/>
      <c r="AH93" s="181"/>
      <c r="AI93" s="181"/>
      <c r="AJ93" s="181"/>
      <c r="AK93" s="181"/>
      <c r="AL93" s="181"/>
      <c r="AM93" s="181"/>
      <c r="AN93" s="181"/>
      <c r="AO93" s="182"/>
    </row>
    <row r="94" ht="14.25">
      <c r="B94" s="180"/>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c r="AA94" s="181"/>
      <c r="AB94" s="181"/>
      <c r="AC94" s="181"/>
      <c r="AD94" s="181"/>
      <c r="AE94" s="181"/>
      <c r="AF94" s="181"/>
      <c r="AG94" s="181"/>
      <c r="AH94" s="181"/>
      <c r="AI94" s="181"/>
      <c r="AJ94" s="181"/>
      <c r="AK94" s="181"/>
      <c r="AL94" s="181"/>
      <c r="AM94" s="181"/>
      <c r="AN94" s="181"/>
      <c r="AO94" s="182"/>
    </row>
    <row r="95" ht="14.25">
      <c r="B95" s="183"/>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c r="AL95" s="184"/>
      <c r="AM95" s="184"/>
      <c r="AN95" s="184"/>
      <c r="AO95" s="185"/>
    </row>
    <row r="96" ht="14.25">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c r="AF96" s="186"/>
      <c r="AG96" s="186"/>
      <c r="AH96" s="186"/>
      <c r="AI96" s="186"/>
      <c r="AJ96" s="186"/>
      <c r="AK96" s="186"/>
      <c r="AL96" s="186"/>
      <c r="AM96" s="186"/>
      <c r="AN96" s="186"/>
      <c r="AO96" s="186"/>
    </row>
    <row r="97" ht="14.25">
      <c r="B97" s="187" t="s">
        <v>371</v>
      </c>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c r="AB97" s="186"/>
      <c r="AC97" s="186"/>
      <c r="AD97" s="186"/>
      <c r="AE97" s="186"/>
      <c r="AF97" s="186"/>
      <c r="AG97" s="186"/>
      <c r="AH97" s="186"/>
      <c r="AI97" s="186"/>
      <c r="AJ97" s="186"/>
      <c r="AK97" s="186"/>
      <c r="AL97" s="186"/>
      <c r="AM97" s="186"/>
      <c r="AN97" s="186"/>
      <c r="AO97" s="186"/>
    </row>
    <row r="98" ht="14.25">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c r="AB98" s="186"/>
      <c r="AC98" s="186"/>
      <c r="AD98" s="186"/>
      <c r="AE98" s="186"/>
      <c r="AF98" s="186"/>
      <c r="AG98" s="186"/>
      <c r="AH98" s="186"/>
      <c r="AI98" s="186"/>
      <c r="AJ98" s="186"/>
      <c r="AK98" s="186"/>
      <c r="AL98" s="186"/>
      <c r="AM98" s="186"/>
      <c r="AN98" s="186"/>
      <c r="AO98" s="186"/>
    </row>
    <row r="99" ht="14.25">
      <c r="B99" s="188" t="s">
        <v>372</v>
      </c>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c r="AF99" s="186"/>
      <c r="AG99" s="186"/>
      <c r="AH99" s="186"/>
      <c r="AI99" s="186"/>
      <c r="AJ99" s="186"/>
      <c r="AK99" s="186"/>
      <c r="AL99" s="186"/>
      <c r="AM99" s="186"/>
      <c r="AN99" s="186"/>
      <c r="AO99" s="186"/>
    </row>
    <row r="100" ht="14.25">
      <c r="B100" s="186"/>
      <c r="C100" s="188" t="s">
        <v>373</v>
      </c>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c r="AB100" s="186"/>
      <c r="AC100" s="186"/>
      <c r="AD100" s="186"/>
      <c r="AE100" s="186"/>
      <c r="AF100" s="186"/>
      <c r="AG100" s="186"/>
      <c r="AH100" s="186"/>
      <c r="AI100" s="186"/>
      <c r="AJ100" s="186"/>
      <c r="AK100" s="186"/>
      <c r="AL100" s="186"/>
      <c r="AM100" s="186"/>
      <c r="AN100" s="186"/>
      <c r="AO100" s="186"/>
    </row>
    <row r="101" ht="14.25">
      <c r="B101" s="186"/>
      <c r="C101" s="188" t="s">
        <v>374</v>
      </c>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c r="AF101" s="186"/>
      <c r="AG101" s="186"/>
      <c r="AH101" s="186"/>
      <c r="AI101" s="186"/>
      <c r="AJ101" s="186"/>
      <c r="AK101" s="186"/>
      <c r="AL101" s="186"/>
      <c r="AM101" s="186"/>
      <c r="AN101" s="186"/>
      <c r="AO101" s="186"/>
    </row>
    <row r="102" ht="14.25">
      <c r="B102" s="186"/>
      <c r="C102" s="188" t="s">
        <v>375</v>
      </c>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c r="AF102" s="186"/>
      <c r="AG102" s="186"/>
      <c r="AH102" s="186"/>
      <c r="AI102" s="186"/>
      <c r="AJ102" s="186"/>
      <c r="AK102" s="186"/>
      <c r="AL102" s="186"/>
      <c r="AM102" s="186"/>
      <c r="AN102" s="186"/>
      <c r="AO102" s="186"/>
    </row>
    <row r="103" ht="14.25">
      <c r="C103" t="s">
        <v>376</v>
      </c>
    </row>
    <row r="106" ht="14.25">
      <c r="B106" t="s">
        <v>377</v>
      </c>
    </row>
    <row r="107" ht="14.25">
      <c r="C107" s="135" t="s">
        <v>378</v>
      </c>
    </row>
    <row r="108" ht="14.25">
      <c r="C108" s="135" t="s">
        <v>379</v>
      </c>
    </row>
    <row r="109" ht="14.25">
      <c r="C109" s="135" t="s">
        <v>380</v>
      </c>
    </row>
    <row r="111" ht="14.25">
      <c r="B111" s="130" t="s">
        <v>381</v>
      </c>
    </row>
    <row r="113" ht="14.25">
      <c r="B113" t="s">
        <v>382</v>
      </c>
    </row>
    <row r="114" ht="14.25">
      <c r="C114" t="s">
        <v>383</v>
      </c>
    </row>
    <row r="115" ht="14.25">
      <c r="D115" s="135" t="s">
        <v>384</v>
      </c>
    </row>
    <row r="116" ht="14.25">
      <c r="D116" s="135" t="s">
        <v>385</v>
      </c>
    </row>
    <row r="118" ht="14.25">
      <c r="C118" t="s">
        <v>386</v>
      </c>
    </row>
    <row r="120" ht="14.25">
      <c r="C120" t="s">
        <v>387</v>
      </c>
    </row>
    <row r="122" ht="14.25">
      <c r="C122" t="s">
        <v>388</v>
      </c>
    </row>
    <row r="123" ht="14.25">
      <c r="A123" s="189"/>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O123" s="190"/>
    </row>
    <row r="124" ht="14.25">
      <c r="A124" s="189"/>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row>
    <row r="125" ht="14.25">
      <c r="B125" s="191" t="s">
        <v>389</v>
      </c>
    </row>
    <row r="127" ht="14.25">
      <c r="B127" t="s">
        <v>390</v>
      </c>
    </row>
    <row r="128" ht="14.25">
      <c r="C128" t="s">
        <v>391</v>
      </c>
    </row>
    <row r="129" ht="14.25">
      <c r="D129" t="s">
        <v>392</v>
      </c>
    </row>
    <row r="130" ht="14.25">
      <c r="C130" s="135" t="s">
        <v>393</v>
      </c>
    </row>
    <row r="131" ht="14.25">
      <c r="D131" t="s">
        <v>394</v>
      </c>
    </row>
    <row r="133" ht="14.25">
      <c r="B133" t="s">
        <v>395</v>
      </c>
    </row>
    <row r="134" ht="14.25">
      <c r="C134" t="s">
        <v>396</v>
      </c>
    </row>
    <row r="135" ht="14.25">
      <c r="D135" t="s">
        <v>397</v>
      </c>
    </row>
    <row r="136" ht="14.25">
      <c r="D136" t="s">
        <v>398</v>
      </c>
    </row>
    <row r="137" ht="14.25">
      <c r="C137" t="s">
        <v>399</v>
      </c>
    </row>
    <row r="138" ht="14.25">
      <c r="D138" t="s">
        <v>400</v>
      </c>
    </row>
    <row r="140" ht="14.25">
      <c r="B140" t="s">
        <v>401</v>
      </c>
    </row>
    <row r="141" ht="14.25">
      <c r="C141" t="s">
        <v>402</v>
      </c>
    </row>
    <row r="142" ht="14.25">
      <c r="D142" t="s">
        <v>403</v>
      </c>
    </row>
    <row r="143" ht="14.25">
      <c r="E143" t="s">
        <v>404</v>
      </c>
    </row>
    <row r="144" ht="14.25">
      <c r="E144" t="s">
        <v>405</v>
      </c>
    </row>
    <row r="145" ht="14.25">
      <c r="E145" t="s">
        <v>406</v>
      </c>
    </row>
    <row r="147" ht="14.25">
      <c r="D147" t="s">
        <v>407</v>
      </c>
    </row>
    <row r="148" ht="14.25">
      <c r="E148" t="s">
        <v>408</v>
      </c>
    </row>
    <row r="149" ht="14.25">
      <c r="E149" t="s">
        <v>409</v>
      </c>
    </row>
    <row r="151" ht="14.25">
      <c r="D151" t="s">
        <v>410</v>
      </c>
    </row>
    <row r="152" ht="14.25">
      <c r="E152" t="s">
        <v>411</v>
      </c>
    </row>
    <row r="154" ht="14.25">
      <c r="C154" t="s">
        <v>412</v>
      </c>
    </row>
    <row r="155" ht="14.25">
      <c r="D155" t="s">
        <v>413</v>
      </c>
    </row>
    <row r="156" ht="14.25">
      <c r="E156" t="s">
        <v>414</v>
      </c>
    </row>
    <row r="157" ht="14.25">
      <c r="E157" t="s">
        <v>415</v>
      </c>
    </row>
    <row r="159" ht="14.25">
      <c r="D159" t="s">
        <v>416</v>
      </c>
    </row>
    <row r="160" ht="14.25">
      <c r="E160" t="s">
        <v>417</v>
      </c>
    </row>
    <row r="161" ht="14.25">
      <c r="F161" t="s">
        <v>418</v>
      </c>
    </row>
    <row r="162" ht="14.25">
      <c r="G162" t="s">
        <v>419</v>
      </c>
    </row>
    <row r="164" ht="14.25">
      <c r="D164" t="s">
        <v>420</v>
      </c>
    </row>
    <row r="165" ht="14.25">
      <c r="E165" t="s">
        <v>421</v>
      </c>
    </row>
    <row r="166" ht="14.25">
      <c r="F166" t="s">
        <v>422</v>
      </c>
    </row>
    <row r="168" ht="14.25">
      <c r="D168" t="s">
        <v>423</v>
      </c>
    </row>
    <row r="169" ht="14.25">
      <c r="E169" t="s">
        <v>424</v>
      </c>
    </row>
    <row r="170" ht="14.25">
      <c r="E170" t="s">
        <v>425</v>
      </c>
    </row>
  </sheetData>
  <mergeCells count="14">
    <mergeCell ref="B57:H57"/>
    <mergeCell ref="I57:Q57"/>
    <mergeCell ref="R57:Z57"/>
    <mergeCell ref="AA57:AI57"/>
    <mergeCell ref="AJ57:AO57"/>
    <mergeCell ref="I58:Q59"/>
    <mergeCell ref="R58:Z59"/>
    <mergeCell ref="AA58:AI59"/>
    <mergeCell ref="I61:Q64"/>
    <mergeCell ref="I66:Q67"/>
    <mergeCell ref="AA66:AI68"/>
    <mergeCell ref="I69:Q71"/>
    <mergeCell ref="R69:Z70"/>
    <mergeCell ref="B78:AO95"/>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 zoomScale="100" workbookViewId="0">
      <pane xSplit="7" topLeftCell="H1" activePane="topRight" state="frozen"/>
      <selection activeCell="A1" activeCellId="0" sqref="A1"/>
    </sheetView>
  </sheetViews>
  <sheetFormatPr defaultRowHeight="14.25"/>
  <cols>
    <col customWidth="1" min="1" max="1" width="3.00390625"/>
    <col customWidth="1" min="2" max="2" width="11.57421875"/>
    <col customWidth="1" min="3" max="3" width="32.7109375"/>
    <col customWidth="1" min="4" max="4" width="37.00390625"/>
    <col customWidth="1" min="5" max="5" width="21.57421875"/>
    <col customWidth="1" min="6" max="7" width="17.7109375"/>
    <col bestFit="1" customWidth="1" min="8" max="90" width="5.62109375"/>
    <col bestFit="1" min="91" max="101" width="5.62109375"/>
  </cols>
  <sheetData>
    <row r="1" ht="14.25">
      <c r="A1" s="192"/>
      <c r="B1" s="192"/>
      <c r="C1" s="192"/>
      <c r="D1" s="192"/>
      <c r="E1" s="193"/>
      <c r="F1" s="192"/>
      <c r="G1" s="192"/>
      <c r="H1" s="194"/>
      <c r="I1" s="194"/>
      <c r="J1" s="194"/>
      <c r="K1" s="194"/>
    </row>
    <row r="2" ht="15">
      <c r="A2" s="192"/>
      <c r="B2" s="195"/>
      <c r="C2" s="196"/>
      <c r="D2" s="197" t="s">
        <v>2</v>
      </c>
      <c r="E2" s="7">
        <v>46083</v>
      </c>
      <c r="F2" s="198"/>
      <c r="G2" s="199"/>
      <c r="H2" s="194"/>
      <c r="I2" s="194"/>
      <c r="J2" s="194"/>
      <c r="K2" s="194"/>
      <c r="BL2" s="200"/>
      <c r="BM2" t="s">
        <v>426</v>
      </c>
    </row>
    <row r="3" ht="15">
      <c r="A3" s="192"/>
      <c r="B3" s="195"/>
      <c r="C3" s="196"/>
      <c r="D3" s="201" t="s">
        <v>6</v>
      </c>
      <c r="E3" s="13">
        <v>46176</v>
      </c>
      <c r="F3" s="198"/>
      <c r="G3" s="202"/>
      <c r="H3" s="194"/>
      <c r="I3" s="194"/>
      <c r="J3" s="194"/>
      <c r="K3" s="194"/>
    </row>
    <row r="4" ht="15">
      <c r="A4" s="192"/>
      <c r="B4" s="195"/>
      <c r="C4" s="196"/>
      <c r="D4" s="201" t="s">
        <v>10</v>
      </c>
      <c r="E4" s="13">
        <v>46082</v>
      </c>
      <c r="F4" s="194"/>
      <c r="G4" s="202"/>
      <c r="H4" s="194"/>
      <c r="I4" s="194"/>
      <c r="J4" s="194"/>
      <c r="K4" s="194"/>
      <c r="BL4" s="203"/>
      <c r="BM4" t="s">
        <v>427</v>
      </c>
    </row>
    <row r="5" ht="15">
      <c r="A5" s="192"/>
      <c r="B5" s="195"/>
      <c r="C5" s="196"/>
      <c r="D5" s="201" t="s">
        <v>13</v>
      </c>
      <c r="E5" s="13" t="s">
        <v>14</v>
      </c>
      <c r="F5" s="194"/>
      <c r="G5" s="202"/>
      <c r="H5" s="194"/>
      <c r="I5" s="194"/>
      <c r="J5" s="194"/>
      <c r="K5" s="194"/>
    </row>
    <row r="6" ht="15">
      <c r="A6" s="192"/>
      <c r="B6" s="195"/>
      <c r="C6" s="22"/>
      <c r="D6" s="204" t="s">
        <v>15</v>
      </c>
      <c r="E6" s="24">
        <f ca="1">TODAY()</f>
        <v>46154</v>
      </c>
      <c r="F6" s="194"/>
      <c r="G6" s="202"/>
      <c r="H6" s="194"/>
      <c r="I6" s="194"/>
      <c r="J6" s="194"/>
      <c r="K6" s="194"/>
    </row>
    <row r="7" ht="14.25">
      <c r="A7" s="192"/>
      <c r="B7" s="28"/>
      <c r="C7" s="28"/>
      <c r="D7" s="192"/>
      <c r="E7" s="192"/>
      <c r="F7" s="30"/>
      <c r="G7" s="30"/>
      <c r="H7" s="194"/>
      <c r="I7" s="194"/>
      <c r="J7" s="194"/>
      <c r="K7" s="194"/>
    </row>
    <row r="8" ht="17.25">
      <c r="A8" s="194"/>
      <c r="B8" s="205" t="s">
        <v>428</v>
      </c>
      <c r="C8" s="206"/>
      <c r="D8" s="206"/>
      <c r="E8" s="206"/>
      <c r="F8" s="206"/>
      <c r="G8" s="206"/>
      <c r="H8" s="207">
        <f>E2</f>
        <v>46083</v>
      </c>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9"/>
      <c r="AL8" s="210">
        <f>H8+31</f>
        <v>46114</v>
      </c>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1"/>
      <c r="BP8" s="210">
        <f>AL8+31</f>
        <v>46145</v>
      </c>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1"/>
      <c r="CU8" s="212">
        <f>BP8+31</f>
        <v>46176</v>
      </c>
      <c r="CV8" s="213"/>
      <c r="CW8" s="214"/>
    </row>
    <row r="9" ht="15">
      <c r="A9" s="215"/>
      <c r="B9" s="35" t="s">
        <v>17</v>
      </c>
      <c r="C9" s="35" t="s">
        <v>18</v>
      </c>
      <c r="D9" s="35" t="s">
        <v>21</v>
      </c>
      <c r="E9" s="35" t="s">
        <v>22</v>
      </c>
      <c r="F9" s="35" t="s">
        <v>23</v>
      </c>
      <c r="G9" s="216" t="s">
        <v>24</v>
      </c>
      <c r="H9" s="217">
        <f>E2</f>
        <v>46083</v>
      </c>
      <c r="I9" s="218">
        <f>H9+1</f>
        <v>46084</v>
      </c>
      <c r="J9" s="218">
        <f>I9+1</f>
        <v>46085</v>
      </c>
      <c r="K9" s="218">
        <f>J9+1</f>
        <v>46086</v>
      </c>
      <c r="L9" s="218">
        <f>K9+1</f>
        <v>46087</v>
      </c>
      <c r="M9" s="218">
        <f>L9+1</f>
        <v>46088</v>
      </c>
      <c r="N9" s="218">
        <f>M9+1</f>
        <v>46089</v>
      </c>
      <c r="O9" s="218">
        <f>N9+1</f>
        <v>46090</v>
      </c>
      <c r="P9" s="218">
        <f>O9+1</f>
        <v>46091</v>
      </c>
      <c r="Q9" s="218">
        <f>P9+1</f>
        <v>46092</v>
      </c>
      <c r="R9" s="218">
        <f>Q9+1</f>
        <v>46093</v>
      </c>
      <c r="S9" s="218">
        <f>R9+1</f>
        <v>46094</v>
      </c>
      <c r="T9" s="218">
        <f>S9+1</f>
        <v>46095</v>
      </c>
      <c r="U9" s="218">
        <f>T9+1</f>
        <v>46096</v>
      </c>
      <c r="V9" s="218">
        <f>U9+1</f>
        <v>46097</v>
      </c>
      <c r="W9" s="218">
        <f>V9+1</f>
        <v>46098</v>
      </c>
      <c r="X9" s="218">
        <f>W9+1</f>
        <v>46099</v>
      </c>
      <c r="Y9" s="218">
        <f>X9+1</f>
        <v>46100</v>
      </c>
      <c r="Z9" s="218">
        <f>Y9+1</f>
        <v>46101</v>
      </c>
      <c r="AA9" s="218">
        <f>Z9+1</f>
        <v>46102</v>
      </c>
      <c r="AB9" s="218">
        <f>AA9+1</f>
        <v>46103</v>
      </c>
      <c r="AC9" s="218">
        <f>AB9+1</f>
        <v>46104</v>
      </c>
      <c r="AD9" s="218">
        <f>AC9+1</f>
        <v>46105</v>
      </c>
      <c r="AE9" s="218">
        <f>AD9+1</f>
        <v>46106</v>
      </c>
      <c r="AF9" s="218">
        <f>AE9+1</f>
        <v>46107</v>
      </c>
      <c r="AG9" s="218">
        <f>AF9+1</f>
        <v>46108</v>
      </c>
      <c r="AH9" s="218">
        <f>AG9+1</f>
        <v>46109</v>
      </c>
      <c r="AI9" s="218">
        <f>AH9+1</f>
        <v>46110</v>
      </c>
      <c r="AJ9" s="218">
        <f>AI9+1</f>
        <v>46111</v>
      </c>
      <c r="AK9" s="219">
        <f>AJ9+1</f>
        <v>46112</v>
      </c>
      <c r="AL9" s="220">
        <f>AK9+1</f>
        <v>46113</v>
      </c>
      <c r="AM9" s="218">
        <f>AL9+1</f>
        <v>46114</v>
      </c>
      <c r="AN9" s="218">
        <f>AM9+1</f>
        <v>46115</v>
      </c>
      <c r="AO9" s="218">
        <f>AN9+1</f>
        <v>46116</v>
      </c>
      <c r="AP9" s="218">
        <f>AO9+1</f>
        <v>46117</v>
      </c>
      <c r="AQ9" s="218">
        <f>AP9+1</f>
        <v>46118</v>
      </c>
      <c r="AR9" s="218">
        <f>AQ9+1</f>
        <v>46119</v>
      </c>
      <c r="AS9" s="218">
        <f>AR9+1</f>
        <v>46120</v>
      </c>
      <c r="AT9" s="218">
        <f>AS9+1</f>
        <v>46121</v>
      </c>
      <c r="AU9" s="218">
        <f>AT9+1</f>
        <v>46122</v>
      </c>
      <c r="AV9" s="218">
        <f>AU9+1</f>
        <v>46123</v>
      </c>
      <c r="AW9" s="218">
        <f>AV9+1</f>
        <v>46124</v>
      </c>
      <c r="AX9" s="218">
        <f>AW9+1</f>
        <v>46125</v>
      </c>
      <c r="AY9" s="218">
        <f>AX9+1</f>
        <v>46126</v>
      </c>
      <c r="AZ9" s="218">
        <f>AY9+1</f>
        <v>46127</v>
      </c>
      <c r="BA9" s="218">
        <f>AZ9+1</f>
        <v>46128</v>
      </c>
      <c r="BB9" s="218">
        <f>BA9+1</f>
        <v>46129</v>
      </c>
      <c r="BC9" s="218">
        <f>BB9+1</f>
        <v>46130</v>
      </c>
      <c r="BD9" s="218">
        <f>BC9+1</f>
        <v>46131</v>
      </c>
      <c r="BE9" s="218">
        <f>BD9+1</f>
        <v>46132</v>
      </c>
      <c r="BF9" s="218">
        <f>BE9+1</f>
        <v>46133</v>
      </c>
      <c r="BG9" s="218">
        <f>BF9+1</f>
        <v>46134</v>
      </c>
      <c r="BH9" s="218">
        <f>BG9+1</f>
        <v>46135</v>
      </c>
      <c r="BI9" s="218">
        <f>BH9+1</f>
        <v>46136</v>
      </c>
      <c r="BJ9" s="218">
        <f>BI9+1</f>
        <v>46137</v>
      </c>
      <c r="BK9" s="218">
        <f>BJ9+1</f>
        <v>46138</v>
      </c>
      <c r="BL9" s="218">
        <f>BK9+1</f>
        <v>46139</v>
      </c>
      <c r="BM9" s="218">
        <f>BL9+1</f>
        <v>46140</v>
      </c>
      <c r="BN9" s="218">
        <f>BM9+1</f>
        <v>46141</v>
      </c>
      <c r="BO9" s="219">
        <f>BN9+1</f>
        <v>46142</v>
      </c>
      <c r="BP9" s="220">
        <f>BO9+1</f>
        <v>46143</v>
      </c>
      <c r="BQ9" s="218">
        <f>BP9+1</f>
        <v>46144</v>
      </c>
      <c r="BR9" s="218">
        <f>BQ9+1</f>
        <v>46145</v>
      </c>
      <c r="BS9" s="218">
        <f>BR9+1</f>
        <v>46146</v>
      </c>
      <c r="BT9" s="218">
        <f>BS9+1</f>
        <v>46147</v>
      </c>
      <c r="BU9" s="218">
        <f>BT9+1</f>
        <v>46148</v>
      </c>
      <c r="BV9" s="218">
        <f>BU9+1</f>
        <v>46149</v>
      </c>
      <c r="BW9" s="218">
        <f>BV9+1</f>
        <v>46150</v>
      </c>
      <c r="BX9" s="218">
        <f>BW9+1</f>
        <v>46151</v>
      </c>
      <c r="BY9" s="218">
        <f>BX9+1</f>
        <v>46152</v>
      </c>
      <c r="BZ9" s="218">
        <f>BY9+1</f>
        <v>46153</v>
      </c>
      <c r="CA9" s="218">
        <f>BZ9+1</f>
        <v>46154</v>
      </c>
      <c r="CB9" s="218">
        <f>CA9+1</f>
        <v>46155</v>
      </c>
      <c r="CC9" s="218">
        <f>CB9+1</f>
        <v>46156</v>
      </c>
      <c r="CD9" s="218">
        <f>CC9+1</f>
        <v>46157</v>
      </c>
      <c r="CE9" s="218">
        <f>CD9+1</f>
        <v>46158</v>
      </c>
      <c r="CF9" s="218">
        <f>CE9+1</f>
        <v>46159</v>
      </c>
      <c r="CG9" s="218">
        <f>CF9+1</f>
        <v>46160</v>
      </c>
      <c r="CH9" s="218">
        <f>CG9+1</f>
        <v>46161</v>
      </c>
      <c r="CI9" s="218">
        <f>CH9+1</f>
        <v>46162</v>
      </c>
      <c r="CJ9" s="218">
        <f>CI9+1</f>
        <v>46163</v>
      </c>
      <c r="CK9" s="218">
        <f>CJ9+1</f>
        <v>46164</v>
      </c>
      <c r="CL9" s="218">
        <f>CK9+1</f>
        <v>46165</v>
      </c>
      <c r="CM9" s="218">
        <f>CL9+1</f>
        <v>46166</v>
      </c>
      <c r="CN9" s="218">
        <f>CM9+1</f>
        <v>46167</v>
      </c>
      <c r="CO9" s="218">
        <f>CN9+1</f>
        <v>46168</v>
      </c>
      <c r="CP9" s="218">
        <f>CO9+1</f>
        <v>46169</v>
      </c>
      <c r="CQ9" s="218">
        <f>CP9+1</f>
        <v>46170</v>
      </c>
      <c r="CR9" s="218">
        <f>CQ9+1</f>
        <v>46171</v>
      </c>
      <c r="CS9" s="218">
        <f>CR9+1</f>
        <v>46172</v>
      </c>
      <c r="CT9" s="219">
        <f>CS9+1</f>
        <v>46173</v>
      </c>
      <c r="CU9" s="220">
        <f>CT9+1</f>
        <v>46174</v>
      </c>
      <c r="CV9" s="218">
        <f>CU9+1</f>
        <v>46175</v>
      </c>
      <c r="CW9" s="218">
        <f>CV9+1</f>
        <v>46176</v>
      </c>
    </row>
    <row r="10" ht="15">
      <c r="A10" s="221"/>
      <c r="B10" s="38" t="s">
        <v>27</v>
      </c>
      <c r="C10" s="39" t="s">
        <v>28</v>
      </c>
      <c r="D10" s="41" t="s">
        <v>29</v>
      </c>
      <c r="E10" s="44" t="s">
        <v>429</v>
      </c>
      <c r="F10" s="222">
        <v>46083</v>
      </c>
      <c r="G10" s="223">
        <v>46176</v>
      </c>
      <c r="H10" s="224"/>
      <c r="I10" s="225"/>
      <c r="J10" s="225"/>
      <c r="K10" s="225"/>
      <c r="L10" s="226"/>
      <c r="M10" s="227"/>
      <c r="N10" s="227"/>
      <c r="O10" s="226"/>
      <c r="P10" s="226"/>
      <c r="Q10" s="226"/>
      <c r="R10" s="226"/>
      <c r="S10" s="226"/>
      <c r="T10" s="227"/>
      <c r="U10" s="227"/>
      <c r="V10" s="226"/>
      <c r="W10" s="226"/>
      <c r="X10" s="226"/>
      <c r="Y10" s="226"/>
      <c r="Z10" s="226"/>
      <c r="AA10" s="227"/>
      <c r="AB10" s="227"/>
      <c r="AC10" s="226"/>
      <c r="AD10" s="226"/>
      <c r="AE10" s="226"/>
      <c r="AF10" s="226"/>
      <c r="AG10" s="226"/>
      <c r="AH10" s="227"/>
      <c r="AI10" s="227"/>
      <c r="AJ10" s="226"/>
      <c r="AK10" s="228"/>
      <c r="AL10" s="229"/>
      <c r="AM10" s="226"/>
      <c r="AN10" s="226"/>
      <c r="AO10" s="227"/>
      <c r="AP10" s="227"/>
      <c r="AQ10" s="226"/>
      <c r="AR10" s="226"/>
      <c r="AS10" s="226"/>
      <c r="AT10" s="226"/>
      <c r="AU10" s="226"/>
      <c r="AV10" s="227"/>
      <c r="AW10" s="227"/>
      <c r="AX10" s="226"/>
      <c r="AY10" s="226"/>
      <c r="AZ10" s="226"/>
      <c r="BA10" s="226"/>
      <c r="BB10" s="226"/>
      <c r="BC10" s="227"/>
      <c r="BD10" s="227"/>
      <c r="BE10" s="226"/>
      <c r="BF10" s="226"/>
      <c r="BG10" s="226"/>
      <c r="BH10" s="226"/>
      <c r="BI10" s="226"/>
      <c r="BJ10" s="227"/>
      <c r="BK10" s="227"/>
      <c r="BL10" s="230"/>
      <c r="BM10" s="226"/>
      <c r="BN10" s="226"/>
      <c r="BO10" s="231"/>
      <c r="BP10" s="232"/>
      <c r="BQ10" s="227"/>
      <c r="BR10" s="227"/>
      <c r="BS10" s="226"/>
      <c r="BT10" s="226"/>
      <c r="BU10" s="226"/>
      <c r="BV10" s="226"/>
      <c r="BW10" s="226"/>
      <c r="BX10" s="227"/>
      <c r="BY10" s="227"/>
      <c r="BZ10" s="226"/>
      <c r="CA10" s="226"/>
      <c r="CB10" s="226"/>
      <c r="CC10" s="226"/>
      <c r="CD10" s="226"/>
      <c r="CE10" s="227"/>
      <c r="CF10" s="227"/>
      <c r="CG10" s="226"/>
      <c r="CH10" s="226"/>
      <c r="CI10" s="226"/>
      <c r="CJ10" s="226"/>
      <c r="CK10" s="226"/>
      <c r="CL10" s="227"/>
      <c r="CM10" s="227"/>
      <c r="CN10" s="226"/>
      <c r="CO10" s="226"/>
      <c r="CP10" s="226"/>
      <c r="CQ10" s="226"/>
      <c r="CR10" s="226"/>
      <c r="CS10" s="227"/>
      <c r="CT10" s="233"/>
      <c r="CU10" s="229"/>
      <c r="CV10" s="226"/>
      <c r="CW10" s="226"/>
    </row>
    <row r="11" ht="14.25">
      <c r="A11" s="221"/>
      <c r="B11" s="45" t="s">
        <v>31</v>
      </c>
      <c r="C11" s="46" t="s">
        <v>430</v>
      </c>
      <c r="D11" s="41" t="s">
        <v>29</v>
      </c>
      <c r="E11" s="48" t="s">
        <v>33</v>
      </c>
      <c r="F11" s="222">
        <v>46083</v>
      </c>
      <c r="G11" s="234">
        <v>46087</v>
      </c>
      <c r="H11" s="235"/>
      <c r="I11" s="236"/>
      <c r="J11" s="236"/>
      <c r="K11" s="236"/>
      <c r="L11" s="237"/>
      <c r="M11" s="227"/>
      <c r="N11" s="227"/>
      <c r="O11" s="226"/>
      <c r="P11" s="226"/>
      <c r="Q11" s="226"/>
      <c r="R11" s="226"/>
      <c r="S11" s="226"/>
      <c r="T11" s="227"/>
      <c r="U11" s="227"/>
      <c r="V11" s="226"/>
      <c r="W11" s="226"/>
      <c r="X11" s="226"/>
      <c r="Y11" s="226"/>
      <c r="Z11" s="226"/>
      <c r="AA11" s="227"/>
      <c r="AB11" s="227"/>
      <c r="AC11" s="226"/>
      <c r="AD11" s="226"/>
      <c r="AE11" s="226"/>
      <c r="AF11" s="226"/>
      <c r="AG11" s="226"/>
      <c r="AH11" s="227"/>
      <c r="AI11" s="227"/>
      <c r="AJ11" s="226"/>
      <c r="AK11" s="228"/>
      <c r="AL11" s="229"/>
      <c r="AM11" s="226"/>
      <c r="AN11" s="226"/>
      <c r="AO11" s="227"/>
      <c r="AP11" s="227"/>
      <c r="AQ11" s="226"/>
      <c r="AR11" s="226"/>
      <c r="AS11" s="226"/>
      <c r="AT11" s="226"/>
      <c r="AU11" s="226"/>
      <c r="AV11" s="227"/>
      <c r="AW11" s="227"/>
      <c r="AX11" s="226"/>
      <c r="AY11" s="226"/>
      <c r="AZ11" s="226"/>
      <c r="BA11" s="226"/>
      <c r="BB11" s="226"/>
      <c r="BC11" s="227"/>
      <c r="BD11" s="227"/>
      <c r="BE11" s="226"/>
      <c r="BF11" s="226"/>
      <c r="BG11" s="226"/>
      <c r="BH11" s="226"/>
      <c r="BI11" s="226"/>
      <c r="BJ11" s="227"/>
      <c r="BK11" s="227"/>
      <c r="BL11" s="230"/>
      <c r="BM11" s="226"/>
      <c r="BN11" s="226"/>
      <c r="BO11" s="231"/>
      <c r="BP11" s="232"/>
      <c r="BQ11" s="227"/>
      <c r="BR11" s="227"/>
      <c r="BS11" s="226"/>
      <c r="BT11" s="226"/>
      <c r="BU11" s="226"/>
      <c r="BV11" s="226"/>
      <c r="BW11" s="226"/>
      <c r="BX11" s="227"/>
      <c r="BY11" s="227"/>
      <c r="BZ11" s="226"/>
      <c r="CA11" s="226"/>
      <c r="CB11" s="226"/>
      <c r="CC11" s="226"/>
      <c r="CD11" s="226"/>
      <c r="CE11" s="227"/>
      <c r="CF11" s="227"/>
      <c r="CG11" s="226"/>
      <c r="CH11" s="226"/>
      <c r="CI11" s="226"/>
      <c r="CJ11" s="226"/>
      <c r="CK11" s="226"/>
      <c r="CL11" s="227"/>
      <c r="CM11" s="227"/>
      <c r="CN11" s="226"/>
      <c r="CO11" s="226"/>
      <c r="CP11" s="226"/>
      <c r="CQ11" s="226"/>
      <c r="CR11" s="226"/>
      <c r="CS11" s="227"/>
      <c r="CT11" s="233"/>
      <c r="CU11" s="229"/>
      <c r="CV11" s="226"/>
      <c r="CW11" s="226"/>
    </row>
    <row r="12" ht="14.25">
      <c r="A12" s="221"/>
      <c r="B12" s="45" t="s">
        <v>34</v>
      </c>
      <c r="C12" s="46" t="s">
        <v>35</v>
      </c>
      <c r="D12" s="41" t="s">
        <v>29</v>
      </c>
      <c r="E12" s="48" t="s">
        <v>36</v>
      </c>
      <c r="F12" s="222">
        <v>46083</v>
      </c>
      <c r="G12" s="223">
        <v>46176</v>
      </c>
      <c r="H12" s="235"/>
      <c r="I12" s="236"/>
      <c r="J12" s="236"/>
      <c r="K12" s="236"/>
      <c r="L12" s="237"/>
      <c r="M12" s="227"/>
      <c r="N12" s="227"/>
      <c r="O12" s="237"/>
      <c r="P12" s="237"/>
      <c r="Q12" s="237"/>
      <c r="R12" s="237"/>
      <c r="S12" s="237"/>
      <c r="T12" s="227"/>
      <c r="U12" s="227"/>
      <c r="V12" s="237"/>
      <c r="W12" s="237"/>
      <c r="X12" s="237"/>
      <c r="Y12" s="237"/>
      <c r="Z12" s="237"/>
      <c r="AA12" s="227"/>
      <c r="AB12" s="227"/>
      <c r="AC12" s="237"/>
      <c r="AD12" s="237"/>
      <c r="AE12" s="237"/>
      <c r="AF12" s="237"/>
      <c r="AG12" s="237"/>
      <c r="AH12" s="227"/>
      <c r="AI12" s="227"/>
      <c r="AJ12" s="237"/>
      <c r="AK12" s="238"/>
      <c r="AL12" s="239"/>
      <c r="AM12" s="237"/>
      <c r="AN12" s="237"/>
      <c r="AO12" s="227"/>
      <c r="AP12" s="227"/>
      <c r="AQ12" s="237"/>
      <c r="AR12" s="237"/>
      <c r="AS12" s="237"/>
      <c r="AT12" s="237"/>
      <c r="AU12" s="237"/>
      <c r="AV12" s="227"/>
      <c r="AW12" s="227"/>
      <c r="AX12" s="237"/>
      <c r="AY12" s="237"/>
      <c r="AZ12" s="237"/>
      <c r="BA12" s="237"/>
      <c r="BB12" s="237"/>
      <c r="BC12" s="227"/>
      <c r="BD12" s="227"/>
      <c r="BE12" s="237"/>
      <c r="BF12" s="237"/>
      <c r="BG12" s="237"/>
      <c r="BH12" s="237"/>
      <c r="BI12" s="237"/>
      <c r="BJ12" s="227"/>
      <c r="BK12" s="227"/>
      <c r="BL12" s="230"/>
      <c r="BM12" s="237"/>
      <c r="BN12" s="237"/>
      <c r="BO12" s="231"/>
      <c r="BP12" s="232"/>
      <c r="BQ12" s="227"/>
      <c r="BR12" s="227"/>
      <c r="BS12" s="240"/>
      <c r="BT12" s="240"/>
      <c r="BU12" s="240"/>
      <c r="BV12" s="240"/>
      <c r="BW12" s="240"/>
      <c r="BX12" s="227"/>
      <c r="BY12" s="227"/>
      <c r="BZ12" s="240"/>
      <c r="CA12" s="240"/>
      <c r="CB12" s="240"/>
      <c r="CC12" s="240"/>
      <c r="CD12" s="240"/>
      <c r="CE12" s="227"/>
      <c r="CF12" s="227"/>
      <c r="CG12" s="240"/>
      <c r="CH12" s="240"/>
      <c r="CI12" s="240"/>
      <c r="CJ12" s="240"/>
      <c r="CK12" s="240"/>
      <c r="CL12" s="227"/>
      <c r="CM12" s="227"/>
      <c r="CN12" s="240"/>
      <c r="CO12" s="240"/>
      <c r="CP12" s="240"/>
      <c r="CQ12" s="240"/>
      <c r="CR12" s="240"/>
      <c r="CS12" s="227"/>
      <c r="CT12" s="233"/>
      <c r="CU12" s="241"/>
      <c r="CV12" s="240"/>
      <c r="CW12" s="240"/>
    </row>
    <row r="13" ht="14.25">
      <c r="A13" s="221"/>
      <c r="B13" s="45" t="s">
        <v>37</v>
      </c>
      <c r="C13" s="46" t="s">
        <v>38</v>
      </c>
      <c r="D13" s="41" t="s">
        <v>29</v>
      </c>
      <c r="E13" s="48" t="s">
        <v>39</v>
      </c>
      <c r="F13" s="63">
        <v>46175</v>
      </c>
      <c r="G13" s="223">
        <v>46176</v>
      </c>
      <c r="H13" s="224"/>
      <c r="I13" s="225"/>
      <c r="J13" s="225"/>
      <c r="K13" s="225"/>
      <c r="L13" s="226"/>
      <c r="M13" s="227"/>
      <c r="N13" s="227"/>
      <c r="O13" s="226"/>
      <c r="P13" s="226"/>
      <c r="Q13" s="226"/>
      <c r="R13" s="226"/>
      <c r="S13" s="226"/>
      <c r="T13" s="227"/>
      <c r="U13" s="227"/>
      <c r="V13" s="226"/>
      <c r="W13" s="226"/>
      <c r="X13" s="226"/>
      <c r="Y13" s="226"/>
      <c r="Z13" s="226"/>
      <c r="AA13" s="227"/>
      <c r="AB13" s="227"/>
      <c r="AC13" s="226"/>
      <c r="AD13" s="226"/>
      <c r="AE13" s="226"/>
      <c r="AF13" s="226"/>
      <c r="AG13" s="226"/>
      <c r="AH13" s="227"/>
      <c r="AI13" s="227"/>
      <c r="AJ13" s="226"/>
      <c r="AK13" s="228"/>
      <c r="AL13" s="229"/>
      <c r="AM13" s="226"/>
      <c r="AN13" s="226"/>
      <c r="AO13" s="227"/>
      <c r="AP13" s="227"/>
      <c r="AQ13" s="226"/>
      <c r="AR13" s="226"/>
      <c r="AS13" s="226"/>
      <c r="AT13" s="226"/>
      <c r="AU13" s="226"/>
      <c r="AV13" s="227"/>
      <c r="AW13" s="227"/>
      <c r="AX13" s="226"/>
      <c r="AY13" s="226"/>
      <c r="AZ13" s="226"/>
      <c r="BA13" s="226"/>
      <c r="BB13" s="226"/>
      <c r="BC13" s="227"/>
      <c r="BD13" s="227"/>
      <c r="BE13" s="226"/>
      <c r="BF13" s="226"/>
      <c r="BG13" s="226"/>
      <c r="BH13" s="226"/>
      <c r="BI13" s="226"/>
      <c r="BJ13" s="227"/>
      <c r="BK13" s="227"/>
      <c r="BL13" s="230"/>
      <c r="BM13" s="226"/>
      <c r="BN13" s="226"/>
      <c r="BO13" s="231"/>
      <c r="BP13" s="232"/>
      <c r="BQ13" s="227"/>
      <c r="BR13" s="227"/>
      <c r="BS13" s="226"/>
      <c r="BT13" s="226"/>
      <c r="BU13" s="226"/>
      <c r="BV13" s="226"/>
      <c r="BW13" s="226"/>
      <c r="BX13" s="227"/>
      <c r="BY13" s="227"/>
      <c r="BZ13" s="226"/>
      <c r="CA13" s="226"/>
      <c r="CB13" s="226"/>
      <c r="CC13" s="226"/>
      <c r="CD13" s="226"/>
      <c r="CE13" s="227"/>
      <c r="CF13" s="227"/>
      <c r="CG13" s="226"/>
      <c r="CH13" s="226"/>
      <c r="CI13" s="226"/>
      <c r="CJ13" s="226"/>
      <c r="CK13" s="226"/>
      <c r="CL13" s="227"/>
      <c r="CM13" s="227"/>
      <c r="CN13" s="226"/>
      <c r="CO13" s="226"/>
      <c r="CP13" s="226"/>
      <c r="CQ13" s="226"/>
      <c r="CR13" s="226"/>
      <c r="CS13" s="227"/>
      <c r="CT13" s="233"/>
      <c r="CU13" s="229"/>
      <c r="CV13" s="240"/>
      <c r="CW13" s="240"/>
    </row>
    <row r="14" ht="15">
      <c r="A14" s="221"/>
      <c r="B14" s="38" t="s">
        <v>40</v>
      </c>
      <c r="C14" s="39" t="s">
        <v>41</v>
      </c>
      <c r="D14" s="41" t="s">
        <v>29</v>
      </c>
      <c r="E14" s="48" t="s">
        <v>431</v>
      </c>
      <c r="F14" s="63">
        <v>46084</v>
      </c>
      <c r="G14" s="223">
        <v>46295</v>
      </c>
      <c r="H14" s="224"/>
      <c r="I14" s="225"/>
      <c r="J14" s="225"/>
      <c r="K14" s="225"/>
      <c r="L14" s="226"/>
      <c r="M14" s="227"/>
      <c r="N14" s="227"/>
      <c r="O14" s="226"/>
      <c r="P14" s="226"/>
      <c r="Q14" s="226"/>
      <c r="R14" s="226"/>
      <c r="S14" s="226"/>
      <c r="T14" s="227"/>
      <c r="U14" s="227"/>
      <c r="V14" s="226"/>
      <c r="W14" s="226"/>
      <c r="X14" s="226"/>
      <c r="Y14" s="226"/>
      <c r="Z14" s="226"/>
      <c r="AA14" s="227"/>
      <c r="AB14" s="227"/>
      <c r="AC14" s="226"/>
      <c r="AD14" s="226"/>
      <c r="AE14" s="226"/>
      <c r="AF14" s="226"/>
      <c r="AG14" s="226"/>
      <c r="AH14" s="227"/>
      <c r="AI14" s="227"/>
      <c r="AJ14" s="226"/>
      <c r="AK14" s="228"/>
      <c r="AL14" s="229"/>
      <c r="AM14" s="226"/>
      <c r="AN14" s="226"/>
      <c r="AO14" s="227"/>
      <c r="AP14" s="227"/>
      <c r="AQ14" s="226"/>
      <c r="AR14" s="226"/>
      <c r="AS14" s="226"/>
      <c r="AT14" s="226"/>
      <c r="AU14" s="226"/>
      <c r="AV14" s="227"/>
      <c r="AW14" s="227"/>
      <c r="AX14" s="226"/>
      <c r="AY14" s="226"/>
      <c r="AZ14" s="226"/>
      <c r="BA14" s="226"/>
      <c r="BB14" s="226"/>
      <c r="BC14" s="227"/>
      <c r="BD14" s="227"/>
      <c r="BE14" s="226"/>
      <c r="BF14" s="226"/>
      <c r="BG14" s="226"/>
      <c r="BH14" s="226"/>
      <c r="BI14" s="226"/>
      <c r="BJ14" s="227"/>
      <c r="BK14" s="227"/>
      <c r="BL14" s="230"/>
      <c r="BM14" s="226"/>
      <c r="BN14" s="226"/>
      <c r="BO14" s="231"/>
      <c r="BP14" s="232"/>
      <c r="BQ14" s="227"/>
      <c r="BR14" s="227"/>
      <c r="BS14" s="226"/>
      <c r="BT14" s="226"/>
      <c r="BU14" s="226"/>
      <c r="BV14" s="226"/>
      <c r="BW14" s="226"/>
      <c r="BX14" s="227"/>
      <c r="BY14" s="227"/>
      <c r="BZ14" s="226"/>
      <c r="CA14" s="226"/>
      <c r="CB14" s="226"/>
      <c r="CC14" s="226"/>
      <c r="CD14" s="226"/>
      <c r="CE14" s="227"/>
      <c r="CF14" s="227"/>
      <c r="CG14" s="226"/>
      <c r="CH14" s="226"/>
      <c r="CI14" s="226"/>
      <c r="CJ14" s="226"/>
      <c r="CK14" s="226"/>
      <c r="CL14" s="227"/>
      <c r="CM14" s="227"/>
      <c r="CN14" s="226"/>
      <c r="CO14" s="226"/>
      <c r="CP14" s="226"/>
      <c r="CQ14" s="226"/>
      <c r="CR14" s="226"/>
      <c r="CS14" s="227"/>
      <c r="CT14" s="233"/>
      <c r="CU14" s="229"/>
      <c r="CV14" s="226"/>
      <c r="CW14" s="226"/>
    </row>
    <row r="15" ht="14.25">
      <c r="A15" s="221"/>
      <c r="B15" s="45" t="s">
        <v>43</v>
      </c>
      <c r="C15" s="46" t="s">
        <v>44</v>
      </c>
      <c r="D15" s="41" t="s">
        <v>29</v>
      </c>
      <c r="E15" s="48" t="s">
        <v>59</v>
      </c>
      <c r="F15" s="63">
        <v>46084</v>
      </c>
      <c r="G15" s="223">
        <v>46091</v>
      </c>
      <c r="H15" s="224"/>
      <c r="I15" s="225"/>
      <c r="J15" s="225"/>
      <c r="K15" s="225"/>
      <c r="L15" s="226"/>
      <c r="M15" s="227"/>
      <c r="N15" s="227"/>
      <c r="O15" s="226"/>
      <c r="P15" s="226"/>
      <c r="Q15" s="226"/>
      <c r="R15" s="226"/>
      <c r="S15" s="226"/>
      <c r="T15" s="227"/>
      <c r="U15" s="227"/>
      <c r="V15" s="226"/>
      <c r="W15" s="226"/>
      <c r="X15" s="226"/>
      <c r="Y15" s="226"/>
      <c r="Z15" s="226"/>
      <c r="AA15" s="227"/>
      <c r="AB15" s="227"/>
      <c r="AC15" s="226"/>
      <c r="AD15" s="226"/>
      <c r="AE15" s="226"/>
      <c r="AF15" s="226"/>
      <c r="AG15" s="226"/>
      <c r="AH15" s="227"/>
      <c r="AI15" s="227"/>
      <c r="AJ15" s="226"/>
      <c r="AK15" s="228"/>
      <c r="AL15" s="229"/>
      <c r="AM15" s="226"/>
      <c r="AN15" s="226"/>
      <c r="AO15" s="227"/>
      <c r="AP15" s="227"/>
      <c r="AQ15" s="226"/>
      <c r="AR15" s="226"/>
      <c r="AS15" s="226"/>
      <c r="AT15" s="226"/>
      <c r="AU15" s="226"/>
      <c r="AV15" s="227"/>
      <c r="AW15" s="227"/>
      <c r="AX15" s="226"/>
      <c r="AY15" s="226"/>
      <c r="AZ15" s="226"/>
      <c r="BA15" s="226"/>
      <c r="BB15" s="226"/>
      <c r="BC15" s="227"/>
      <c r="BD15" s="227"/>
      <c r="BE15" s="226"/>
      <c r="BF15" s="226"/>
      <c r="BG15" s="226"/>
      <c r="BH15" s="226"/>
      <c r="BI15" s="226"/>
      <c r="BJ15" s="227"/>
      <c r="BK15" s="227"/>
      <c r="BL15" s="230"/>
      <c r="BM15" s="226"/>
      <c r="BN15" s="226"/>
      <c r="BO15" s="231"/>
      <c r="BP15" s="232"/>
      <c r="BQ15" s="227"/>
      <c r="BR15" s="227"/>
      <c r="BS15" s="226"/>
      <c r="BT15" s="226"/>
      <c r="BU15" s="226"/>
      <c r="BV15" s="226"/>
      <c r="BW15" s="226"/>
      <c r="BX15" s="227"/>
      <c r="BY15" s="227"/>
      <c r="BZ15" s="226"/>
      <c r="CA15" s="226"/>
      <c r="CB15" s="226"/>
      <c r="CC15" s="226"/>
      <c r="CD15" s="226"/>
      <c r="CE15" s="227"/>
      <c r="CF15" s="227"/>
      <c r="CG15" s="226"/>
      <c r="CH15" s="226"/>
      <c r="CI15" s="226"/>
      <c r="CJ15" s="226"/>
      <c r="CK15" s="226"/>
      <c r="CL15" s="227"/>
      <c r="CM15" s="227"/>
      <c r="CN15" s="226"/>
      <c r="CO15" s="226"/>
      <c r="CP15" s="226"/>
      <c r="CQ15" s="226"/>
      <c r="CR15" s="226"/>
      <c r="CS15" s="227"/>
      <c r="CT15" s="233"/>
      <c r="CU15" s="229"/>
      <c r="CV15" s="226"/>
      <c r="CW15" s="226"/>
    </row>
    <row r="16" ht="14.25">
      <c r="A16" s="221"/>
      <c r="B16" s="61" t="s">
        <v>47</v>
      </c>
      <c r="C16" s="62" t="s">
        <v>48</v>
      </c>
      <c r="D16" s="41" t="s">
        <v>29</v>
      </c>
      <c r="E16" s="48" t="s">
        <v>52</v>
      </c>
      <c r="F16" s="63">
        <v>46084</v>
      </c>
      <c r="G16" s="223">
        <v>46086</v>
      </c>
      <c r="H16" s="224"/>
      <c r="I16" s="236"/>
      <c r="J16" s="236"/>
      <c r="K16" s="236"/>
      <c r="L16" s="226"/>
      <c r="M16" s="227"/>
      <c r="N16" s="227"/>
      <c r="O16" s="226"/>
      <c r="P16" s="226"/>
      <c r="Q16" s="226"/>
      <c r="R16" s="226"/>
      <c r="S16" s="226"/>
      <c r="T16" s="227"/>
      <c r="U16" s="227"/>
      <c r="V16" s="226"/>
      <c r="W16" s="226"/>
      <c r="X16" s="226"/>
      <c r="Y16" s="226"/>
      <c r="Z16" s="226"/>
      <c r="AA16" s="227"/>
      <c r="AB16" s="227"/>
      <c r="AC16" s="226"/>
      <c r="AD16" s="226"/>
      <c r="AE16" s="226"/>
      <c r="AF16" s="226"/>
      <c r="AG16" s="226"/>
      <c r="AH16" s="227"/>
      <c r="AI16" s="227"/>
      <c r="AJ16" s="226"/>
      <c r="AK16" s="228"/>
      <c r="AL16" s="229"/>
      <c r="AM16" s="226"/>
      <c r="AN16" s="226"/>
      <c r="AO16" s="227"/>
      <c r="AP16" s="227"/>
      <c r="AQ16" s="226"/>
      <c r="AR16" s="226"/>
      <c r="AS16" s="226"/>
      <c r="AT16" s="226"/>
      <c r="AU16" s="226"/>
      <c r="AV16" s="227"/>
      <c r="AW16" s="227"/>
      <c r="AX16" s="226"/>
      <c r="AY16" s="226"/>
      <c r="AZ16" s="226"/>
      <c r="BA16" s="226"/>
      <c r="BB16" s="226"/>
      <c r="BC16" s="227"/>
      <c r="BD16" s="227"/>
      <c r="BE16" s="226"/>
      <c r="BF16" s="226"/>
      <c r="BG16" s="226"/>
      <c r="BH16" s="226"/>
      <c r="BI16" s="226"/>
      <c r="BJ16" s="227"/>
      <c r="BK16" s="227"/>
      <c r="BL16" s="230"/>
      <c r="BM16" s="226"/>
      <c r="BN16" s="226"/>
      <c r="BO16" s="231"/>
      <c r="BP16" s="232"/>
      <c r="BQ16" s="227"/>
      <c r="BR16" s="227"/>
      <c r="BS16" s="226"/>
      <c r="BT16" s="226"/>
      <c r="BU16" s="226"/>
      <c r="BV16" s="226"/>
      <c r="BW16" s="226"/>
      <c r="BX16" s="227"/>
      <c r="BY16" s="227"/>
      <c r="BZ16" s="226"/>
      <c r="CA16" s="226"/>
      <c r="CB16" s="226"/>
      <c r="CC16" s="226"/>
      <c r="CD16" s="226"/>
      <c r="CE16" s="227"/>
      <c r="CF16" s="227"/>
      <c r="CG16" s="226"/>
      <c r="CH16" s="226"/>
      <c r="CI16" s="226"/>
      <c r="CJ16" s="226"/>
      <c r="CK16" s="226"/>
      <c r="CL16" s="227"/>
      <c r="CM16" s="227"/>
      <c r="CN16" s="226"/>
      <c r="CO16" s="226"/>
      <c r="CP16" s="226"/>
      <c r="CQ16" s="226"/>
      <c r="CR16" s="226"/>
      <c r="CS16" s="227"/>
      <c r="CT16" s="233"/>
      <c r="CU16" s="229"/>
      <c r="CV16" s="226"/>
      <c r="CW16" s="226"/>
    </row>
    <row r="17" ht="14.25">
      <c r="A17" s="221"/>
      <c r="B17" s="61" t="s">
        <v>50</v>
      </c>
      <c r="C17" s="62" t="s">
        <v>51</v>
      </c>
      <c r="D17" s="41" t="s">
        <v>47</v>
      </c>
      <c r="E17" s="48" t="s">
        <v>39</v>
      </c>
      <c r="F17" s="63">
        <v>46087</v>
      </c>
      <c r="G17" s="223">
        <v>46090</v>
      </c>
      <c r="H17" s="224"/>
      <c r="I17" s="225"/>
      <c r="J17" s="225"/>
      <c r="K17" s="225"/>
      <c r="L17" s="237"/>
      <c r="M17" s="227"/>
      <c r="N17" s="227"/>
      <c r="O17" s="237"/>
      <c r="P17" s="226"/>
      <c r="Q17" s="226"/>
      <c r="R17" s="226"/>
      <c r="S17" s="226"/>
      <c r="T17" s="227"/>
      <c r="U17" s="227"/>
      <c r="V17" s="226"/>
      <c r="W17" s="226"/>
      <c r="X17" s="226"/>
      <c r="Y17" s="226"/>
      <c r="Z17" s="226"/>
      <c r="AA17" s="227"/>
      <c r="AB17" s="227"/>
      <c r="AC17" s="226"/>
      <c r="AD17" s="226"/>
      <c r="AE17" s="226"/>
      <c r="AF17" s="226"/>
      <c r="AG17" s="226"/>
      <c r="AH17" s="227"/>
      <c r="AI17" s="227"/>
      <c r="AJ17" s="226"/>
      <c r="AK17" s="228"/>
      <c r="AL17" s="229"/>
      <c r="AM17" s="226"/>
      <c r="AN17" s="226"/>
      <c r="AO17" s="227"/>
      <c r="AP17" s="227"/>
      <c r="AQ17" s="226"/>
      <c r="AR17" s="226"/>
      <c r="AS17" s="226"/>
      <c r="AT17" s="226"/>
      <c r="AU17" s="226"/>
      <c r="AV17" s="227"/>
      <c r="AW17" s="227"/>
      <c r="AX17" s="226"/>
      <c r="AY17" s="226"/>
      <c r="AZ17" s="226"/>
      <c r="BA17" s="226"/>
      <c r="BB17" s="226"/>
      <c r="BC17" s="227"/>
      <c r="BD17" s="227"/>
      <c r="BE17" s="226"/>
      <c r="BF17" s="226"/>
      <c r="BG17" s="226"/>
      <c r="BH17" s="226"/>
      <c r="BI17" s="226"/>
      <c r="BJ17" s="227"/>
      <c r="BK17" s="227"/>
      <c r="BL17" s="230"/>
      <c r="BM17" s="226"/>
      <c r="BN17" s="226"/>
      <c r="BO17" s="231"/>
      <c r="BP17" s="232"/>
      <c r="BQ17" s="227"/>
      <c r="BR17" s="227"/>
      <c r="BS17" s="226"/>
      <c r="BT17" s="226"/>
      <c r="BU17" s="226"/>
      <c r="BV17" s="226"/>
      <c r="BW17" s="226"/>
      <c r="BX17" s="227"/>
      <c r="BY17" s="227"/>
      <c r="BZ17" s="226"/>
      <c r="CA17" s="226"/>
      <c r="CB17" s="226"/>
      <c r="CC17" s="226"/>
      <c r="CD17" s="226"/>
      <c r="CE17" s="227"/>
      <c r="CF17" s="227"/>
      <c r="CG17" s="226"/>
      <c r="CH17" s="226"/>
      <c r="CI17" s="226"/>
      <c r="CJ17" s="226"/>
      <c r="CK17" s="226"/>
      <c r="CL17" s="227"/>
      <c r="CM17" s="227"/>
      <c r="CN17" s="226"/>
      <c r="CO17" s="226"/>
      <c r="CP17" s="226"/>
      <c r="CQ17" s="226"/>
      <c r="CR17" s="226"/>
      <c r="CS17" s="227"/>
      <c r="CT17" s="233"/>
      <c r="CU17" s="229"/>
      <c r="CV17" s="226"/>
      <c r="CW17" s="226"/>
    </row>
    <row r="18" ht="14.25">
      <c r="A18" s="221"/>
      <c r="B18" s="45" t="s">
        <v>53</v>
      </c>
      <c r="C18" s="46" t="s">
        <v>54</v>
      </c>
      <c r="D18" s="41" t="s">
        <v>47</v>
      </c>
      <c r="E18" s="48" t="s">
        <v>52</v>
      </c>
      <c r="F18" s="63">
        <v>46087</v>
      </c>
      <c r="G18" s="223">
        <v>46091</v>
      </c>
      <c r="H18" s="224"/>
      <c r="I18" s="225"/>
      <c r="J18" s="225"/>
      <c r="K18" s="225"/>
      <c r="L18" s="237"/>
      <c r="M18" s="227"/>
      <c r="N18" s="227"/>
      <c r="O18" s="237"/>
      <c r="P18" s="237"/>
      <c r="Q18" s="226"/>
      <c r="R18" s="226"/>
      <c r="S18" s="226"/>
      <c r="T18" s="227"/>
      <c r="U18" s="227"/>
      <c r="V18" s="226"/>
      <c r="W18" s="226"/>
      <c r="X18" s="226"/>
      <c r="Y18" s="226"/>
      <c r="Z18" s="226"/>
      <c r="AA18" s="227"/>
      <c r="AB18" s="227"/>
      <c r="AC18" s="226"/>
      <c r="AD18" s="226"/>
      <c r="AE18" s="226"/>
      <c r="AF18" s="226"/>
      <c r="AG18" s="226"/>
      <c r="AH18" s="227"/>
      <c r="AI18" s="227"/>
      <c r="AJ18" s="226"/>
      <c r="AK18" s="228"/>
      <c r="AL18" s="229"/>
      <c r="AM18" s="226"/>
      <c r="AN18" s="226"/>
      <c r="AO18" s="227"/>
      <c r="AP18" s="227"/>
      <c r="AQ18" s="226"/>
      <c r="AR18" s="226"/>
      <c r="AS18" s="226"/>
      <c r="AT18" s="226"/>
      <c r="AU18" s="226"/>
      <c r="AV18" s="227"/>
      <c r="AW18" s="227"/>
      <c r="AX18" s="226"/>
      <c r="AY18" s="226"/>
      <c r="AZ18" s="226"/>
      <c r="BA18" s="226"/>
      <c r="BB18" s="226"/>
      <c r="BC18" s="227"/>
      <c r="BD18" s="227"/>
      <c r="BE18" s="226"/>
      <c r="BF18" s="226"/>
      <c r="BG18" s="226"/>
      <c r="BH18" s="226"/>
      <c r="BI18" s="226"/>
      <c r="BJ18" s="227"/>
      <c r="BK18" s="227"/>
      <c r="BL18" s="230"/>
      <c r="BM18" s="226"/>
      <c r="BN18" s="226"/>
      <c r="BO18" s="231"/>
      <c r="BP18" s="232"/>
      <c r="BQ18" s="227"/>
      <c r="BR18" s="227"/>
      <c r="BS18" s="226"/>
      <c r="BT18" s="226"/>
      <c r="BU18" s="226"/>
      <c r="BV18" s="226"/>
      <c r="BW18" s="226"/>
      <c r="BX18" s="227"/>
      <c r="BY18" s="227"/>
      <c r="BZ18" s="226"/>
      <c r="CA18" s="226"/>
      <c r="CB18" s="226"/>
      <c r="CC18" s="226"/>
      <c r="CD18" s="226"/>
      <c r="CE18" s="227"/>
      <c r="CF18" s="227"/>
      <c r="CG18" s="226"/>
      <c r="CH18" s="226"/>
      <c r="CI18" s="226"/>
      <c r="CJ18" s="226"/>
      <c r="CK18" s="226"/>
      <c r="CL18" s="227"/>
      <c r="CM18" s="227"/>
      <c r="CN18" s="226"/>
      <c r="CO18" s="226"/>
      <c r="CP18" s="226"/>
      <c r="CQ18" s="226"/>
      <c r="CR18" s="226"/>
      <c r="CS18" s="227"/>
      <c r="CT18" s="233"/>
      <c r="CU18" s="229"/>
      <c r="CV18" s="226"/>
      <c r="CW18" s="226"/>
    </row>
    <row r="19" ht="14.25">
      <c r="A19" s="221"/>
      <c r="B19" s="45" t="s">
        <v>56</v>
      </c>
      <c r="C19" s="46" t="s">
        <v>432</v>
      </c>
      <c r="D19" s="41"/>
      <c r="E19" s="48" t="s">
        <v>433</v>
      </c>
      <c r="F19" s="63">
        <v>46090</v>
      </c>
      <c r="G19" s="223">
        <v>46295</v>
      </c>
      <c r="H19" s="224"/>
      <c r="I19" s="225"/>
      <c r="J19" s="225"/>
      <c r="K19" s="225"/>
      <c r="L19" s="226"/>
      <c r="M19" s="227"/>
      <c r="N19" s="227"/>
      <c r="O19" s="226"/>
      <c r="P19" s="226"/>
      <c r="Q19" s="226"/>
      <c r="R19" s="226"/>
      <c r="S19" s="226"/>
      <c r="T19" s="227"/>
      <c r="U19" s="227"/>
      <c r="V19" s="226"/>
      <c r="W19" s="226"/>
      <c r="X19" s="226"/>
      <c r="Y19" s="226"/>
      <c r="Z19" s="226"/>
      <c r="AA19" s="227"/>
      <c r="AB19" s="227"/>
      <c r="AC19" s="226"/>
      <c r="AD19" s="226"/>
      <c r="AE19" s="226"/>
      <c r="AF19" s="226"/>
      <c r="AG19" s="226"/>
      <c r="AH19" s="227"/>
      <c r="AI19" s="227"/>
      <c r="AJ19" s="226"/>
      <c r="AK19" s="228"/>
      <c r="AL19" s="229"/>
      <c r="AM19" s="226"/>
      <c r="AN19" s="226"/>
      <c r="AO19" s="227"/>
      <c r="AP19" s="227"/>
      <c r="AQ19" s="226"/>
      <c r="AR19" s="226"/>
      <c r="AS19" s="226"/>
      <c r="AT19" s="226"/>
      <c r="AU19" s="226"/>
      <c r="AV19" s="227"/>
      <c r="AW19" s="227"/>
      <c r="AX19" s="226"/>
      <c r="AY19" s="226"/>
      <c r="AZ19" s="226"/>
      <c r="BA19" s="226"/>
      <c r="BB19" s="226"/>
      <c r="BC19" s="227"/>
      <c r="BD19" s="227"/>
      <c r="BE19" s="226"/>
      <c r="BF19" s="226"/>
      <c r="BG19" s="226"/>
      <c r="BH19" s="226"/>
      <c r="BI19" s="226"/>
      <c r="BJ19" s="227"/>
      <c r="BK19" s="227"/>
      <c r="BL19" s="230"/>
      <c r="BM19" s="226"/>
      <c r="BN19" s="226"/>
      <c r="BO19" s="231"/>
      <c r="BP19" s="232"/>
      <c r="BQ19" s="227"/>
      <c r="BR19" s="227"/>
      <c r="BS19" s="226"/>
      <c r="BT19" s="226"/>
      <c r="BU19" s="226"/>
      <c r="BV19" s="226"/>
      <c r="BW19" s="226"/>
      <c r="BX19" s="227"/>
      <c r="BY19" s="227"/>
      <c r="BZ19" s="226"/>
      <c r="CA19" s="226"/>
      <c r="CB19" s="226"/>
      <c r="CC19" s="226"/>
      <c r="CD19" s="226"/>
      <c r="CE19" s="227"/>
      <c r="CF19" s="227"/>
      <c r="CG19" s="226"/>
      <c r="CH19" s="226"/>
      <c r="CI19" s="226"/>
      <c r="CJ19" s="226"/>
      <c r="CK19" s="226"/>
      <c r="CL19" s="227"/>
      <c r="CM19" s="227"/>
      <c r="CN19" s="226"/>
      <c r="CO19" s="226"/>
      <c r="CP19" s="226"/>
      <c r="CQ19" s="226"/>
      <c r="CR19" s="226"/>
      <c r="CS19" s="227"/>
      <c r="CT19" s="233"/>
      <c r="CU19" s="229"/>
      <c r="CV19" s="226"/>
      <c r="CW19" s="226"/>
    </row>
    <row r="20" ht="14.25">
      <c r="A20" s="221"/>
      <c r="B20" s="61" t="s">
        <v>60</v>
      </c>
      <c r="C20" s="62" t="s">
        <v>434</v>
      </c>
      <c r="D20" s="41" t="s">
        <v>47</v>
      </c>
      <c r="E20" s="48" t="s">
        <v>59</v>
      </c>
      <c r="F20" s="63">
        <v>46090</v>
      </c>
      <c r="G20" s="223">
        <v>46094</v>
      </c>
      <c r="H20" s="224"/>
      <c r="I20" s="225"/>
      <c r="J20" s="225"/>
      <c r="K20" s="225"/>
      <c r="L20" s="226"/>
      <c r="M20" s="227"/>
      <c r="N20" s="227"/>
      <c r="O20" s="237"/>
      <c r="P20" s="237"/>
      <c r="Q20" s="237"/>
      <c r="R20" s="237"/>
      <c r="S20" s="237"/>
      <c r="T20" s="227"/>
      <c r="U20" s="227"/>
      <c r="V20" s="226"/>
      <c r="W20" s="226"/>
      <c r="X20" s="226"/>
      <c r="Y20" s="226"/>
      <c r="Z20" s="226"/>
      <c r="AA20" s="227"/>
      <c r="AB20" s="227"/>
      <c r="AC20" s="226"/>
      <c r="AD20" s="226"/>
      <c r="AE20" s="226"/>
      <c r="AF20" s="226"/>
      <c r="AG20" s="226"/>
      <c r="AH20" s="227"/>
      <c r="AI20" s="227"/>
      <c r="AJ20" s="226"/>
      <c r="AK20" s="228"/>
      <c r="AL20" s="229"/>
      <c r="AM20" s="226"/>
      <c r="AN20" s="226"/>
      <c r="AO20" s="227"/>
      <c r="AP20" s="227"/>
      <c r="AQ20" s="226"/>
      <c r="AR20" s="226"/>
      <c r="AS20" s="226"/>
      <c r="AT20" s="226"/>
      <c r="AU20" s="226"/>
      <c r="AV20" s="227"/>
      <c r="AW20" s="227"/>
      <c r="AX20" s="226"/>
      <c r="AY20" s="226"/>
      <c r="AZ20" s="226"/>
      <c r="BA20" s="226"/>
      <c r="BB20" s="226"/>
      <c r="BC20" s="227"/>
      <c r="BD20" s="227"/>
      <c r="BE20" s="226"/>
      <c r="BF20" s="226"/>
      <c r="BG20" s="226"/>
      <c r="BH20" s="226"/>
      <c r="BI20" s="226"/>
      <c r="BJ20" s="227"/>
      <c r="BK20" s="227"/>
      <c r="BL20" s="230"/>
      <c r="BM20" s="226"/>
      <c r="BN20" s="226"/>
      <c r="BO20" s="231"/>
      <c r="BP20" s="232"/>
      <c r="BQ20" s="227"/>
      <c r="BR20" s="227"/>
      <c r="BS20" s="226"/>
      <c r="BT20" s="226"/>
      <c r="BU20" s="226"/>
      <c r="BV20" s="226"/>
      <c r="BW20" s="226"/>
      <c r="BX20" s="227"/>
      <c r="BY20" s="227"/>
      <c r="BZ20" s="226"/>
      <c r="CA20" s="226"/>
      <c r="CB20" s="226"/>
      <c r="CC20" s="226"/>
      <c r="CD20" s="226"/>
      <c r="CE20" s="227"/>
      <c r="CF20" s="227"/>
      <c r="CG20" s="226"/>
      <c r="CH20" s="226"/>
      <c r="CI20" s="226"/>
      <c r="CJ20" s="226"/>
      <c r="CK20" s="226"/>
      <c r="CL20" s="227"/>
      <c r="CM20" s="227"/>
      <c r="CN20" s="226"/>
      <c r="CO20" s="226"/>
      <c r="CP20" s="226"/>
      <c r="CQ20" s="226"/>
      <c r="CR20" s="226"/>
      <c r="CS20" s="227"/>
      <c r="CT20" s="233"/>
      <c r="CU20" s="229"/>
      <c r="CV20" s="226"/>
      <c r="CW20" s="226"/>
    </row>
    <row r="21" ht="14.25">
      <c r="A21" s="221"/>
      <c r="B21" s="61" t="s">
        <v>63</v>
      </c>
      <c r="C21" s="62" t="s">
        <v>72</v>
      </c>
      <c r="D21" s="41" t="s">
        <v>73</v>
      </c>
      <c r="E21" s="48" t="s">
        <v>435</v>
      </c>
      <c r="F21" s="63">
        <v>46097</v>
      </c>
      <c r="G21" s="223">
        <v>46108</v>
      </c>
      <c r="H21" s="224"/>
      <c r="I21" s="225"/>
      <c r="J21" s="225"/>
      <c r="K21" s="225"/>
      <c r="L21" s="226"/>
      <c r="M21" s="227"/>
      <c r="N21" s="227"/>
      <c r="O21" s="226"/>
      <c r="P21" s="226"/>
      <c r="Q21" s="226"/>
      <c r="R21" s="226"/>
      <c r="S21" s="226"/>
      <c r="T21" s="227"/>
      <c r="U21" s="227"/>
      <c r="V21" s="237"/>
      <c r="W21" s="237"/>
      <c r="X21" s="237"/>
      <c r="Y21" s="237"/>
      <c r="Z21" s="237"/>
      <c r="AA21" s="227"/>
      <c r="AB21" s="227"/>
      <c r="AC21" s="237"/>
      <c r="AD21" s="237"/>
      <c r="AE21" s="237"/>
      <c r="AF21" s="237"/>
      <c r="AG21" s="237"/>
      <c r="AH21" s="227"/>
      <c r="AI21" s="227"/>
      <c r="AJ21" s="226"/>
      <c r="AK21" s="228"/>
      <c r="AL21" s="229"/>
      <c r="AM21" s="226"/>
      <c r="AN21" s="226"/>
      <c r="AO21" s="227"/>
      <c r="AP21" s="227"/>
      <c r="AQ21" s="226"/>
      <c r="AR21" s="226"/>
      <c r="AS21" s="226"/>
      <c r="AT21" s="226"/>
      <c r="AU21" s="226"/>
      <c r="AV21" s="227"/>
      <c r="AW21" s="227"/>
      <c r="AX21" s="226"/>
      <c r="AY21" s="226"/>
      <c r="AZ21" s="226"/>
      <c r="BA21" s="226"/>
      <c r="BB21" s="226"/>
      <c r="BC21" s="227"/>
      <c r="BD21" s="227"/>
      <c r="BE21" s="226"/>
      <c r="BF21" s="226"/>
      <c r="BG21" s="226"/>
      <c r="BH21" s="226"/>
      <c r="BI21" s="226"/>
      <c r="BJ21" s="227"/>
      <c r="BK21" s="227"/>
      <c r="BL21" s="230"/>
      <c r="BM21" s="226"/>
      <c r="BN21" s="226"/>
      <c r="BO21" s="231"/>
      <c r="BP21" s="232"/>
      <c r="BQ21" s="227"/>
      <c r="BR21" s="227"/>
      <c r="BS21" s="226"/>
      <c r="BT21" s="226"/>
      <c r="BU21" s="226"/>
      <c r="BV21" s="226"/>
      <c r="BW21" s="226"/>
      <c r="BX21" s="227"/>
      <c r="BY21" s="227"/>
      <c r="BZ21" s="226"/>
      <c r="CA21" s="226"/>
      <c r="CB21" s="226"/>
      <c r="CC21" s="226"/>
      <c r="CD21" s="226"/>
      <c r="CE21" s="227"/>
      <c r="CF21" s="227"/>
      <c r="CG21" s="226"/>
      <c r="CH21" s="226"/>
      <c r="CI21" s="226"/>
      <c r="CJ21" s="226"/>
      <c r="CK21" s="226"/>
      <c r="CL21" s="227"/>
      <c r="CM21" s="227"/>
      <c r="CN21" s="226"/>
      <c r="CO21" s="226"/>
      <c r="CP21" s="226"/>
      <c r="CQ21" s="226"/>
      <c r="CR21" s="226"/>
      <c r="CS21" s="227"/>
      <c r="CT21" s="233"/>
      <c r="CU21" s="229"/>
      <c r="CV21" s="226"/>
      <c r="CW21" s="226"/>
    </row>
    <row r="22" ht="14.25">
      <c r="A22" s="221"/>
      <c r="B22" s="61" t="s">
        <v>436</v>
      </c>
      <c r="C22" s="62" t="s">
        <v>75</v>
      </c>
      <c r="D22" s="41" t="s">
        <v>63</v>
      </c>
      <c r="E22" s="48" t="s">
        <v>437</v>
      </c>
      <c r="F22" s="63">
        <v>46111</v>
      </c>
      <c r="G22" s="223">
        <v>46112</v>
      </c>
      <c r="H22" s="224"/>
      <c r="I22" s="225"/>
      <c r="J22" s="225"/>
      <c r="K22" s="225"/>
      <c r="L22" s="226"/>
      <c r="M22" s="227"/>
      <c r="N22" s="227"/>
      <c r="O22" s="226"/>
      <c r="P22" s="226"/>
      <c r="Q22" s="226"/>
      <c r="R22" s="226"/>
      <c r="S22" s="226"/>
      <c r="T22" s="227"/>
      <c r="U22" s="227"/>
      <c r="V22" s="226"/>
      <c r="W22" s="226"/>
      <c r="X22" s="226"/>
      <c r="Y22" s="226"/>
      <c r="Z22" s="226"/>
      <c r="AA22" s="227"/>
      <c r="AB22" s="227"/>
      <c r="AC22" s="226"/>
      <c r="AD22" s="226"/>
      <c r="AE22" s="226"/>
      <c r="AF22" s="226"/>
      <c r="AG22" s="226"/>
      <c r="AH22" s="227"/>
      <c r="AI22" s="227"/>
      <c r="AJ22" s="237"/>
      <c r="AK22" s="238"/>
      <c r="AL22" s="229"/>
      <c r="AM22" s="226"/>
      <c r="AN22" s="226"/>
      <c r="AO22" s="227"/>
      <c r="AP22" s="227"/>
      <c r="AQ22" s="226"/>
      <c r="AR22" s="226"/>
      <c r="AS22" s="226"/>
      <c r="AT22" s="226"/>
      <c r="AU22" s="226"/>
      <c r="AV22" s="227"/>
      <c r="AW22" s="227"/>
      <c r="AX22" s="226"/>
      <c r="AY22" s="226"/>
      <c r="AZ22" s="226"/>
      <c r="BA22" s="226"/>
      <c r="BB22" s="226"/>
      <c r="BC22" s="227"/>
      <c r="BD22" s="227"/>
      <c r="BE22" s="226"/>
      <c r="BF22" s="226"/>
      <c r="BG22" s="226"/>
      <c r="BH22" s="226"/>
      <c r="BI22" s="226"/>
      <c r="BJ22" s="227"/>
      <c r="BK22" s="227"/>
      <c r="BL22" s="230"/>
      <c r="BM22" s="226"/>
      <c r="BN22" s="226"/>
      <c r="BO22" s="231"/>
      <c r="BP22" s="232"/>
      <c r="BQ22" s="227"/>
      <c r="BR22" s="227"/>
      <c r="BS22" s="226"/>
      <c r="BT22" s="226"/>
      <c r="BU22" s="226"/>
      <c r="BV22" s="226"/>
      <c r="BW22" s="226"/>
      <c r="BX22" s="227"/>
      <c r="BY22" s="227"/>
      <c r="BZ22" s="226"/>
      <c r="CA22" s="226"/>
      <c r="CB22" s="226"/>
      <c r="CC22" s="226"/>
      <c r="CD22" s="226"/>
      <c r="CE22" s="227"/>
      <c r="CF22" s="227"/>
      <c r="CG22" s="226"/>
      <c r="CH22" s="226"/>
      <c r="CI22" s="226"/>
      <c r="CJ22" s="226"/>
      <c r="CK22" s="226"/>
      <c r="CL22" s="227"/>
      <c r="CM22" s="227"/>
      <c r="CN22" s="226"/>
      <c r="CO22" s="226"/>
      <c r="CP22" s="226"/>
      <c r="CQ22" s="226"/>
      <c r="CR22" s="226"/>
      <c r="CS22" s="227"/>
      <c r="CT22" s="233"/>
      <c r="CU22" s="229"/>
      <c r="CV22" s="226"/>
      <c r="CW22" s="226"/>
    </row>
    <row r="23" ht="15">
      <c r="A23" s="221"/>
      <c r="B23" s="38" t="s">
        <v>78</v>
      </c>
      <c r="C23" s="39" t="s">
        <v>438</v>
      </c>
      <c r="D23" s="41" t="s">
        <v>29</v>
      </c>
      <c r="E23" s="48" t="s">
        <v>439</v>
      </c>
      <c r="F23" s="63">
        <v>46104</v>
      </c>
      <c r="G23" s="223">
        <v>46149</v>
      </c>
      <c r="H23" s="224"/>
      <c r="I23" s="225"/>
      <c r="J23" s="242"/>
      <c r="K23" s="225"/>
      <c r="L23" s="226"/>
      <c r="M23" s="227"/>
      <c r="N23" s="227"/>
      <c r="O23" s="226"/>
      <c r="P23" s="226"/>
      <c r="Q23" s="226"/>
      <c r="R23" s="226"/>
      <c r="S23" s="226"/>
      <c r="T23" s="227"/>
      <c r="U23" s="227"/>
      <c r="V23" s="226"/>
      <c r="W23" s="226"/>
      <c r="X23" s="226"/>
      <c r="Y23" s="226"/>
      <c r="Z23" s="226"/>
      <c r="AA23" s="227"/>
      <c r="AB23" s="227"/>
      <c r="AC23" s="226"/>
      <c r="AD23" s="226"/>
      <c r="AE23" s="226"/>
      <c r="AF23" s="226"/>
      <c r="AG23" s="226"/>
      <c r="AH23" s="227"/>
      <c r="AI23" s="227"/>
      <c r="AJ23" s="226"/>
      <c r="AK23" s="228"/>
      <c r="AL23" s="229"/>
      <c r="AM23" s="226"/>
      <c r="AN23" s="226"/>
      <c r="AO23" s="227"/>
      <c r="AP23" s="227"/>
      <c r="AQ23" s="226"/>
      <c r="AR23" s="226"/>
      <c r="AS23" s="226"/>
      <c r="AT23" s="226"/>
      <c r="AU23" s="226"/>
      <c r="AV23" s="227"/>
      <c r="AW23" s="227"/>
      <c r="AX23" s="226"/>
      <c r="AY23" s="226"/>
      <c r="AZ23" s="226"/>
      <c r="BA23" s="226"/>
      <c r="BB23" s="226"/>
      <c r="BC23" s="227"/>
      <c r="BD23" s="227"/>
      <c r="BE23" s="226"/>
      <c r="BF23" s="226"/>
      <c r="BG23" s="226"/>
      <c r="BH23" s="226"/>
      <c r="BI23" s="226"/>
      <c r="BJ23" s="227"/>
      <c r="BK23" s="227"/>
      <c r="BL23" s="230"/>
      <c r="BM23" s="226"/>
      <c r="BN23" s="226"/>
      <c r="BO23" s="231"/>
      <c r="BP23" s="232"/>
      <c r="BQ23" s="227"/>
      <c r="BR23" s="227"/>
      <c r="BS23" s="226"/>
      <c r="BT23" s="226"/>
      <c r="BU23" s="226"/>
      <c r="BV23" s="226"/>
      <c r="BW23" s="226"/>
      <c r="BX23" s="227"/>
      <c r="BY23" s="227"/>
      <c r="BZ23" s="226"/>
      <c r="CA23" s="226"/>
      <c r="CB23" s="226"/>
      <c r="CC23" s="226"/>
      <c r="CD23" s="226"/>
      <c r="CE23" s="227"/>
      <c r="CF23" s="227"/>
      <c r="CG23" s="226"/>
      <c r="CH23" s="226"/>
      <c r="CI23" s="226"/>
      <c r="CJ23" s="226"/>
      <c r="CK23" s="226"/>
      <c r="CL23" s="227"/>
      <c r="CM23" s="227"/>
      <c r="CN23" s="226"/>
      <c r="CO23" s="226"/>
      <c r="CP23" s="226"/>
      <c r="CQ23" s="226"/>
      <c r="CR23" s="226"/>
      <c r="CS23" s="227"/>
      <c r="CT23" s="233"/>
      <c r="CU23" s="229"/>
      <c r="CV23" s="226"/>
      <c r="CW23" s="226"/>
    </row>
    <row r="24" ht="14.25">
      <c r="A24" s="221"/>
      <c r="B24" s="45" t="s">
        <v>82</v>
      </c>
      <c r="C24" s="46" t="s">
        <v>440</v>
      </c>
      <c r="D24" s="41" t="s">
        <v>29</v>
      </c>
      <c r="E24" s="48" t="s">
        <v>204</v>
      </c>
      <c r="F24" s="63">
        <v>46104</v>
      </c>
      <c r="G24" s="223">
        <v>46129</v>
      </c>
      <c r="H24" s="224"/>
      <c r="I24" s="225"/>
      <c r="J24" s="225"/>
      <c r="K24" s="225"/>
      <c r="L24" s="226"/>
      <c r="M24" s="227"/>
      <c r="N24" s="227"/>
      <c r="O24" s="226"/>
      <c r="P24" s="226"/>
      <c r="Q24" s="226"/>
      <c r="R24" s="226"/>
      <c r="S24" s="226"/>
      <c r="T24" s="227"/>
      <c r="U24" s="227"/>
      <c r="V24" s="226"/>
      <c r="W24" s="226"/>
      <c r="X24" s="226"/>
      <c r="Y24" s="226"/>
      <c r="Z24" s="226"/>
      <c r="AA24" s="227"/>
      <c r="AB24" s="227"/>
      <c r="AC24" s="226"/>
      <c r="AD24" s="226"/>
      <c r="AE24" s="226"/>
      <c r="AF24" s="226"/>
      <c r="AG24" s="226"/>
      <c r="AH24" s="227"/>
      <c r="AI24" s="227"/>
      <c r="AJ24" s="226"/>
      <c r="AK24" s="228"/>
      <c r="AL24" s="229"/>
      <c r="AM24" s="226"/>
      <c r="AN24" s="226"/>
      <c r="AO24" s="227"/>
      <c r="AP24" s="227"/>
      <c r="AQ24" s="226"/>
      <c r="AR24" s="226"/>
      <c r="AS24" s="226"/>
      <c r="AT24" s="226"/>
      <c r="AU24" s="226"/>
      <c r="AV24" s="227"/>
      <c r="AW24" s="227"/>
      <c r="AX24" s="226"/>
      <c r="AY24" s="226"/>
      <c r="AZ24" s="226"/>
      <c r="BA24" s="226"/>
      <c r="BB24" s="226"/>
      <c r="BC24" s="227"/>
      <c r="BD24" s="227"/>
      <c r="BE24" s="226"/>
      <c r="BF24" s="226"/>
      <c r="BG24" s="226"/>
      <c r="BH24" s="226"/>
      <c r="BI24" s="226"/>
      <c r="BJ24" s="227"/>
      <c r="BK24" s="227"/>
      <c r="BL24" s="230"/>
      <c r="BM24" s="226"/>
      <c r="BN24" s="226"/>
      <c r="BO24" s="231"/>
      <c r="BP24" s="232"/>
      <c r="BQ24" s="227"/>
      <c r="BR24" s="227"/>
      <c r="BS24" s="226"/>
      <c r="BT24" s="226"/>
      <c r="BU24" s="226"/>
      <c r="BV24" s="226"/>
      <c r="BW24" s="226"/>
      <c r="BX24" s="227"/>
      <c r="BY24" s="227"/>
      <c r="BZ24" s="226"/>
      <c r="CA24" s="226"/>
      <c r="CB24" s="226"/>
      <c r="CC24" s="226"/>
      <c r="CD24" s="226"/>
      <c r="CE24" s="227"/>
      <c r="CF24" s="227"/>
      <c r="CG24" s="226"/>
      <c r="CH24" s="226"/>
      <c r="CI24" s="226"/>
      <c r="CJ24" s="226"/>
      <c r="CK24" s="226"/>
      <c r="CL24" s="227"/>
      <c r="CM24" s="227"/>
      <c r="CN24" s="226"/>
      <c r="CO24" s="226"/>
      <c r="CP24" s="226"/>
      <c r="CQ24" s="226"/>
      <c r="CR24" s="226"/>
      <c r="CS24" s="227"/>
      <c r="CT24" s="233"/>
      <c r="CU24" s="229"/>
      <c r="CV24" s="226"/>
      <c r="CW24" s="226"/>
    </row>
    <row r="25" ht="14.25">
      <c r="A25" s="221"/>
      <c r="B25" s="61" t="s">
        <v>441</v>
      </c>
      <c r="C25" s="243" t="s">
        <v>442</v>
      </c>
      <c r="D25" s="41" t="s">
        <v>29</v>
      </c>
      <c r="E25" s="243" t="s">
        <v>180</v>
      </c>
      <c r="F25" s="63">
        <v>46104</v>
      </c>
      <c r="G25" s="223">
        <v>46129</v>
      </c>
      <c r="H25" s="224"/>
      <c r="I25" s="225"/>
      <c r="J25" s="225"/>
      <c r="K25" s="225"/>
      <c r="L25" s="226"/>
      <c r="M25" s="227"/>
      <c r="N25" s="227"/>
      <c r="O25" s="226"/>
      <c r="P25" s="226"/>
      <c r="Q25" s="226"/>
      <c r="R25" s="226"/>
      <c r="S25" s="226"/>
      <c r="T25" s="227"/>
      <c r="U25" s="227"/>
      <c r="V25" s="226"/>
      <c r="W25" s="226"/>
      <c r="X25" s="226"/>
      <c r="Y25" s="226"/>
      <c r="Z25" s="226"/>
      <c r="AA25" s="227"/>
      <c r="AB25" s="227"/>
      <c r="AC25" s="237"/>
      <c r="AD25" s="237"/>
      <c r="AE25" s="237"/>
      <c r="AF25" s="237"/>
      <c r="AG25" s="237"/>
      <c r="AH25" s="227"/>
      <c r="AI25" s="227"/>
      <c r="AJ25" s="237"/>
      <c r="AK25" s="238"/>
      <c r="AL25" s="239"/>
      <c r="AM25" s="237"/>
      <c r="AN25" s="237"/>
      <c r="AO25" s="227"/>
      <c r="AP25" s="227"/>
      <c r="AQ25" s="237"/>
      <c r="AR25" s="237"/>
      <c r="AS25" s="237"/>
      <c r="AT25" s="237"/>
      <c r="AU25" s="237"/>
      <c r="AV25" s="227"/>
      <c r="AW25" s="227"/>
      <c r="AX25" s="237"/>
      <c r="AY25" s="237"/>
      <c r="AZ25" s="237"/>
      <c r="BA25" s="237"/>
      <c r="BB25" s="237"/>
      <c r="BC25" s="227"/>
      <c r="BD25" s="227"/>
      <c r="BE25" s="226"/>
      <c r="BF25" s="226"/>
      <c r="BG25" s="226"/>
      <c r="BH25" s="226"/>
      <c r="BI25" s="226"/>
      <c r="BJ25" s="227"/>
      <c r="BK25" s="227"/>
      <c r="BL25" s="230"/>
      <c r="BM25" s="226"/>
      <c r="BN25" s="226"/>
      <c r="BO25" s="231"/>
      <c r="BP25" s="232"/>
      <c r="BQ25" s="227"/>
      <c r="BR25" s="227"/>
      <c r="BS25" s="226"/>
      <c r="BT25" s="226"/>
      <c r="BU25" s="226"/>
      <c r="BV25" s="226"/>
      <c r="BW25" s="226"/>
      <c r="BX25" s="227"/>
      <c r="BY25" s="227"/>
      <c r="BZ25" s="226"/>
      <c r="CA25" s="226"/>
      <c r="CB25" s="226"/>
      <c r="CC25" s="226"/>
      <c r="CD25" s="226"/>
      <c r="CE25" s="227"/>
      <c r="CF25" s="227"/>
      <c r="CG25" s="226"/>
      <c r="CH25" s="226"/>
      <c r="CI25" s="226"/>
      <c r="CJ25" s="226"/>
      <c r="CK25" s="226"/>
      <c r="CL25" s="227"/>
      <c r="CM25" s="227"/>
      <c r="CN25" s="226"/>
      <c r="CO25" s="226"/>
      <c r="CP25" s="226"/>
      <c r="CQ25" s="226"/>
      <c r="CR25" s="226"/>
      <c r="CS25" s="227"/>
      <c r="CT25" s="233"/>
      <c r="CU25" s="229"/>
      <c r="CV25" s="226"/>
      <c r="CW25" s="226"/>
    </row>
    <row r="26" ht="14.25">
      <c r="A26" s="221"/>
      <c r="B26" s="61" t="s">
        <v>443</v>
      </c>
      <c r="C26" s="62" t="s">
        <v>444</v>
      </c>
      <c r="D26" s="41" t="s">
        <v>29</v>
      </c>
      <c r="E26" s="48" t="s">
        <v>445</v>
      </c>
      <c r="F26" s="63">
        <v>46104</v>
      </c>
      <c r="G26" s="223">
        <v>46129</v>
      </c>
      <c r="H26" s="224"/>
      <c r="I26" s="225"/>
      <c r="J26" s="225"/>
      <c r="K26" s="225"/>
      <c r="L26" s="226"/>
      <c r="M26" s="227"/>
      <c r="N26" s="227"/>
      <c r="O26" s="226"/>
      <c r="P26" s="226"/>
      <c r="Q26" s="226"/>
      <c r="R26" s="226"/>
      <c r="S26" s="226"/>
      <c r="T26" s="227"/>
      <c r="U26" s="227"/>
      <c r="V26" s="226"/>
      <c r="W26" s="226"/>
      <c r="X26" s="226"/>
      <c r="Y26" s="226"/>
      <c r="Z26" s="226"/>
      <c r="AA26" s="227"/>
      <c r="AB26" s="227"/>
      <c r="AC26" s="237"/>
      <c r="AD26" s="237"/>
      <c r="AE26" s="237"/>
      <c r="AF26" s="237"/>
      <c r="AG26" s="237"/>
      <c r="AH26" s="227"/>
      <c r="AI26" s="227"/>
      <c r="AJ26" s="237"/>
      <c r="AK26" s="238"/>
      <c r="AL26" s="239"/>
      <c r="AM26" s="237"/>
      <c r="AN26" s="237"/>
      <c r="AO26" s="227"/>
      <c r="AP26" s="227"/>
      <c r="AQ26" s="237"/>
      <c r="AR26" s="237"/>
      <c r="AS26" s="237"/>
      <c r="AT26" s="237"/>
      <c r="AU26" s="237"/>
      <c r="AV26" s="227"/>
      <c r="AW26" s="227"/>
      <c r="AX26" s="237"/>
      <c r="AY26" s="237"/>
      <c r="AZ26" s="237"/>
      <c r="BA26" s="237"/>
      <c r="BB26" s="237"/>
      <c r="BC26" s="227"/>
      <c r="BD26" s="227"/>
      <c r="BE26" s="226"/>
      <c r="BF26" s="226"/>
      <c r="BG26" s="226"/>
      <c r="BH26" s="226"/>
      <c r="BI26" s="226"/>
      <c r="BJ26" s="227"/>
      <c r="BK26" s="227"/>
      <c r="BL26" s="230"/>
      <c r="BM26" s="226"/>
      <c r="BN26" s="226"/>
      <c r="BO26" s="231"/>
      <c r="BP26" s="232"/>
      <c r="BQ26" s="227"/>
      <c r="BR26" s="227"/>
      <c r="BS26" s="226"/>
      <c r="BT26" s="226"/>
      <c r="BU26" s="226"/>
      <c r="BV26" s="226"/>
      <c r="BW26" s="226"/>
      <c r="BX26" s="227"/>
      <c r="BY26" s="227"/>
      <c r="BZ26" s="226"/>
      <c r="CA26" s="226"/>
      <c r="CB26" s="226"/>
      <c r="CC26" s="226"/>
      <c r="CD26" s="226"/>
      <c r="CE26" s="227"/>
      <c r="CF26" s="227"/>
      <c r="CG26" s="226"/>
      <c r="CH26" s="226"/>
      <c r="CI26" s="226"/>
      <c r="CJ26" s="226"/>
      <c r="CK26" s="226"/>
      <c r="CL26" s="227"/>
      <c r="CM26" s="227"/>
      <c r="CN26" s="226"/>
      <c r="CO26" s="226"/>
      <c r="CP26" s="226"/>
      <c r="CQ26" s="226"/>
      <c r="CR26" s="226"/>
      <c r="CS26" s="227"/>
      <c r="CT26" s="233"/>
      <c r="CU26" s="229"/>
      <c r="CV26" s="226"/>
      <c r="CW26" s="226"/>
    </row>
    <row r="27" ht="14.25">
      <c r="A27" s="221"/>
      <c r="B27" s="45" t="s">
        <v>85</v>
      </c>
      <c r="C27" s="46" t="s">
        <v>446</v>
      </c>
      <c r="D27" s="41" t="s">
        <v>447</v>
      </c>
      <c r="E27" s="48" t="s">
        <v>448</v>
      </c>
      <c r="F27" s="63">
        <v>46132</v>
      </c>
      <c r="G27" s="223">
        <v>46343</v>
      </c>
      <c r="H27" s="224"/>
      <c r="I27" s="225"/>
      <c r="J27" s="225"/>
      <c r="K27" s="225"/>
      <c r="L27" s="226"/>
      <c r="M27" s="227"/>
      <c r="N27" s="227"/>
      <c r="O27" s="226"/>
      <c r="P27" s="226"/>
      <c r="Q27" s="226"/>
      <c r="R27" s="226"/>
      <c r="S27" s="226"/>
      <c r="T27" s="227"/>
      <c r="U27" s="227"/>
      <c r="V27" s="226"/>
      <c r="W27" s="226"/>
      <c r="X27" s="226"/>
      <c r="Y27" s="226"/>
      <c r="Z27" s="226"/>
      <c r="AA27" s="227"/>
      <c r="AB27" s="227"/>
      <c r="AC27" s="226"/>
      <c r="AD27" s="226"/>
      <c r="AE27" s="226"/>
      <c r="AF27" s="226"/>
      <c r="AG27" s="226"/>
      <c r="AH27" s="227"/>
      <c r="AI27" s="227"/>
      <c r="AJ27" s="226"/>
      <c r="AK27" s="228"/>
      <c r="AL27" s="229"/>
      <c r="AM27" s="226"/>
      <c r="AN27" s="226"/>
      <c r="AO27" s="227"/>
      <c r="AP27" s="227"/>
      <c r="AQ27" s="226"/>
      <c r="AR27" s="226"/>
      <c r="AS27" s="226"/>
      <c r="AT27" s="226"/>
      <c r="AU27" s="226"/>
      <c r="AV27" s="227"/>
      <c r="AW27" s="227"/>
      <c r="AX27" s="226"/>
      <c r="AY27" s="226"/>
      <c r="AZ27" s="226"/>
      <c r="BA27" s="226"/>
      <c r="BB27" s="226"/>
      <c r="BC27" s="227"/>
      <c r="BD27" s="227"/>
      <c r="BE27" s="226"/>
      <c r="BF27" s="226"/>
      <c r="BG27" s="226"/>
      <c r="BH27" s="226"/>
      <c r="BI27" s="226"/>
      <c r="BJ27" s="227"/>
      <c r="BK27" s="227"/>
      <c r="BL27" s="230"/>
      <c r="BM27" s="226"/>
      <c r="BN27" s="226"/>
      <c r="BO27" s="231"/>
      <c r="BP27" s="232"/>
      <c r="BQ27" s="227"/>
      <c r="BR27" s="227"/>
      <c r="BS27" s="226"/>
      <c r="BT27" s="226"/>
      <c r="BU27" s="226"/>
      <c r="BV27" s="226"/>
      <c r="BW27" s="226"/>
      <c r="BX27" s="227"/>
      <c r="BY27" s="227"/>
      <c r="BZ27" s="226"/>
      <c r="CA27" s="226"/>
      <c r="CB27" s="226"/>
      <c r="CC27" s="226"/>
      <c r="CD27" s="226"/>
      <c r="CE27" s="227"/>
      <c r="CF27" s="227"/>
      <c r="CG27" s="226"/>
      <c r="CH27" s="226"/>
      <c r="CI27" s="226"/>
      <c r="CJ27" s="226"/>
      <c r="CK27" s="226"/>
      <c r="CL27" s="227"/>
      <c r="CM27" s="227"/>
      <c r="CN27" s="226"/>
      <c r="CO27" s="226"/>
      <c r="CP27" s="226"/>
      <c r="CQ27" s="226"/>
      <c r="CR27" s="226"/>
      <c r="CS27" s="227"/>
      <c r="CT27" s="233"/>
      <c r="CU27" s="229"/>
      <c r="CV27" s="226"/>
      <c r="CW27" s="226"/>
    </row>
    <row r="28" ht="14.25">
      <c r="A28" s="221"/>
      <c r="B28" s="61" t="s">
        <v>88</v>
      </c>
      <c r="C28" s="62" t="s">
        <v>449</v>
      </c>
      <c r="D28" s="41" t="s">
        <v>447</v>
      </c>
      <c r="E28" s="48" t="s">
        <v>33</v>
      </c>
      <c r="F28" s="63">
        <v>46132</v>
      </c>
      <c r="G28" s="223">
        <v>46136</v>
      </c>
      <c r="H28" s="224"/>
      <c r="I28" s="225"/>
      <c r="J28" s="225"/>
      <c r="K28" s="225"/>
      <c r="L28" s="226"/>
      <c r="M28" s="227"/>
      <c r="N28" s="227"/>
      <c r="O28" s="226"/>
      <c r="P28" s="226"/>
      <c r="Q28" s="226"/>
      <c r="R28" s="226"/>
      <c r="S28" s="226"/>
      <c r="T28" s="227"/>
      <c r="U28" s="227"/>
      <c r="V28" s="226"/>
      <c r="W28" s="226"/>
      <c r="X28" s="226"/>
      <c r="Y28" s="226"/>
      <c r="Z28" s="226"/>
      <c r="AA28" s="227"/>
      <c r="AB28" s="227"/>
      <c r="AC28" s="226"/>
      <c r="AD28" s="226"/>
      <c r="AE28" s="226"/>
      <c r="AF28" s="226"/>
      <c r="AG28" s="226"/>
      <c r="AH28" s="227"/>
      <c r="AI28" s="227"/>
      <c r="AJ28" s="226"/>
      <c r="AK28" s="228"/>
      <c r="AL28" s="229"/>
      <c r="AM28" s="226"/>
      <c r="AN28" s="226"/>
      <c r="AO28" s="227"/>
      <c r="AP28" s="227"/>
      <c r="AQ28" s="226"/>
      <c r="AR28" s="226"/>
      <c r="AS28" s="226"/>
      <c r="AT28" s="226"/>
      <c r="AU28" s="226"/>
      <c r="AV28" s="227"/>
      <c r="AW28" s="227"/>
      <c r="AX28" s="226"/>
      <c r="AY28" s="226"/>
      <c r="AZ28" s="226"/>
      <c r="BA28" s="226"/>
      <c r="BB28" s="226"/>
      <c r="BC28" s="227"/>
      <c r="BD28" s="227"/>
      <c r="BE28" s="237"/>
      <c r="BF28" s="237"/>
      <c r="BG28" s="237"/>
      <c r="BH28" s="237"/>
      <c r="BI28" s="237"/>
      <c r="BJ28" s="227"/>
      <c r="BK28" s="227"/>
      <c r="BL28" s="230"/>
      <c r="BM28" s="226"/>
      <c r="BN28" s="226"/>
      <c r="BO28" s="231"/>
      <c r="BP28" s="232"/>
      <c r="BQ28" s="227"/>
      <c r="BR28" s="227"/>
      <c r="BS28" s="226"/>
      <c r="BT28" s="226"/>
      <c r="BU28" s="226"/>
      <c r="BV28" s="226"/>
      <c r="BW28" s="226"/>
      <c r="BX28" s="227"/>
      <c r="BY28" s="227"/>
      <c r="BZ28" s="226"/>
      <c r="CA28" s="226"/>
      <c r="CB28" s="226"/>
      <c r="CC28" s="226"/>
      <c r="CD28" s="226"/>
      <c r="CE28" s="227"/>
      <c r="CF28" s="227"/>
      <c r="CG28" s="226"/>
      <c r="CH28" s="226"/>
      <c r="CI28" s="226"/>
      <c r="CJ28" s="226"/>
      <c r="CK28" s="226"/>
      <c r="CL28" s="227"/>
      <c r="CM28" s="227"/>
      <c r="CN28" s="226"/>
      <c r="CO28" s="226"/>
      <c r="CP28" s="226"/>
      <c r="CQ28" s="226"/>
      <c r="CR28" s="226"/>
      <c r="CS28" s="227"/>
      <c r="CT28" s="233"/>
      <c r="CU28" s="229"/>
      <c r="CV28" s="226"/>
      <c r="CW28" s="226"/>
    </row>
    <row r="29" ht="14.25">
      <c r="A29" s="221"/>
      <c r="B29" s="61" t="s">
        <v>91</v>
      </c>
      <c r="C29" s="243" t="s">
        <v>450</v>
      </c>
      <c r="D29" s="41" t="s">
        <v>447</v>
      </c>
      <c r="E29" s="243" t="s">
        <v>52</v>
      </c>
      <c r="F29" s="244">
        <v>46140</v>
      </c>
      <c r="G29" s="245">
        <v>46146</v>
      </c>
      <c r="H29" s="224"/>
      <c r="I29" s="225"/>
      <c r="J29" s="225"/>
      <c r="K29" s="225"/>
      <c r="L29" s="226"/>
      <c r="M29" s="227"/>
      <c r="N29" s="227"/>
      <c r="O29" s="226"/>
      <c r="P29" s="226"/>
      <c r="Q29" s="226"/>
      <c r="R29" s="226"/>
      <c r="S29" s="226"/>
      <c r="T29" s="227"/>
      <c r="U29" s="227"/>
      <c r="V29" s="226"/>
      <c r="W29" s="226"/>
      <c r="X29" s="226"/>
      <c r="Y29" s="226"/>
      <c r="Z29" s="226"/>
      <c r="AA29" s="227"/>
      <c r="AB29" s="227"/>
      <c r="AC29" s="226"/>
      <c r="AD29" s="226"/>
      <c r="AE29" s="226"/>
      <c r="AF29" s="226"/>
      <c r="AG29" s="226"/>
      <c r="AH29" s="227"/>
      <c r="AI29" s="227"/>
      <c r="AJ29" s="226"/>
      <c r="AK29" s="228"/>
      <c r="AL29" s="229"/>
      <c r="AM29" s="226"/>
      <c r="AN29" s="226"/>
      <c r="AO29" s="227"/>
      <c r="AP29" s="227"/>
      <c r="AQ29" s="226"/>
      <c r="AR29" s="226"/>
      <c r="AS29" s="226"/>
      <c r="AT29" s="226"/>
      <c r="AU29" s="226"/>
      <c r="AV29" s="227"/>
      <c r="AW29" s="227"/>
      <c r="AX29" s="226"/>
      <c r="AY29" s="226"/>
      <c r="AZ29" s="226"/>
      <c r="BA29" s="226"/>
      <c r="BB29" s="226"/>
      <c r="BC29" s="227"/>
      <c r="BD29" s="227"/>
      <c r="BE29" s="226"/>
      <c r="BF29" s="226"/>
      <c r="BG29" s="226"/>
      <c r="BH29" s="226"/>
      <c r="BI29" s="226"/>
      <c r="BJ29" s="227"/>
      <c r="BK29" s="227"/>
      <c r="BL29" s="230"/>
      <c r="BM29" s="237"/>
      <c r="BN29" s="237"/>
      <c r="BO29" s="231"/>
      <c r="BP29" s="232"/>
      <c r="BQ29" s="227"/>
      <c r="BR29" s="227"/>
      <c r="BS29" s="240"/>
      <c r="BT29" s="226"/>
      <c r="BU29" s="226"/>
      <c r="BV29" s="226"/>
      <c r="BW29" s="226"/>
      <c r="BX29" s="227"/>
      <c r="BY29" s="227"/>
      <c r="BZ29" s="226"/>
      <c r="CA29" s="226"/>
      <c r="CB29" s="226"/>
      <c r="CC29" s="226"/>
      <c r="CD29" s="226"/>
      <c r="CE29" s="227"/>
      <c r="CF29" s="227"/>
      <c r="CG29" s="226"/>
      <c r="CH29" s="226"/>
      <c r="CI29" s="226"/>
      <c r="CJ29" s="226"/>
      <c r="CK29" s="226"/>
      <c r="CL29" s="227"/>
      <c r="CM29" s="227"/>
      <c r="CN29" s="226"/>
      <c r="CO29" s="226"/>
      <c r="CP29" s="226"/>
      <c r="CQ29" s="226"/>
      <c r="CR29" s="226"/>
      <c r="CS29" s="227"/>
      <c r="CT29" s="233"/>
      <c r="CU29" s="229"/>
      <c r="CV29" s="226"/>
      <c r="CW29" s="226"/>
    </row>
    <row r="30" ht="14.25">
      <c r="A30" s="221"/>
      <c r="B30" s="61" t="s">
        <v>451</v>
      </c>
      <c r="C30" s="62" t="s">
        <v>452</v>
      </c>
      <c r="D30" s="41" t="s">
        <v>447</v>
      </c>
      <c r="E30" s="48" t="s">
        <v>52</v>
      </c>
      <c r="F30" s="63">
        <v>46147</v>
      </c>
      <c r="G30" s="223">
        <v>46149</v>
      </c>
      <c r="H30" s="224"/>
      <c r="I30" s="225"/>
      <c r="J30" s="225"/>
      <c r="K30" s="225"/>
      <c r="L30" s="226"/>
      <c r="M30" s="227"/>
      <c r="N30" s="227"/>
      <c r="O30" s="226"/>
      <c r="P30" s="226"/>
      <c r="Q30" s="226"/>
      <c r="R30" s="226"/>
      <c r="S30" s="226"/>
      <c r="T30" s="227"/>
      <c r="U30" s="227"/>
      <c r="V30" s="226"/>
      <c r="W30" s="226"/>
      <c r="X30" s="226"/>
      <c r="Y30" s="226"/>
      <c r="Z30" s="226"/>
      <c r="AA30" s="227"/>
      <c r="AB30" s="227"/>
      <c r="AC30" s="226"/>
      <c r="AD30" s="226"/>
      <c r="AE30" s="226"/>
      <c r="AF30" s="226"/>
      <c r="AG30" s="226"/>
      <c r="AH30" s="227"/>
      <c r="AI30" s="227"/>
      <c r="AJ30" s="226"/>
      <c r="AK30" s="228"/>
      <c r="AL30" s="229"/>
      <c r="AM30" s="226"/>
      <c r="AN30" s="226"/>
      <c r="AO30" s="227"/>
      <c r="AP30" s="227"/>
      <c r="AQ30" s="226"/>
      <c r="AR30" s="226"/>
      <c r="AS30" s="226"/>
      <c r="AT30" s="226"/>
      <c r="AU30" s="226"/>
      <c r="AV30" s="227"/>
      <c r="AW30" s="227"/>
      <c r="AX30" s="226"/>
      <c r="AY30" s="226"/>
      <c r="AZ30" s="226"/>
      <c r="BA30" s="226"/>
      <c r="BB30" s="226"/>
      <c r="BC30" s="227"/>
      <c r="BD30" s="227"/>
      <c r="BE30" s="226"/>
      <c r="BF30" s="226"/>
      <c r="BG30" s="226"/>
      <c r="BH30" s="226"/>
      <c r="BI30" s="226"/>
      <c r="BJ30" s="227"/>
      <c r="BK30" s="227"/>
      <c r="BL30" s="230"/>
      <c r="BM30" s="226"/>
      <c r="BN30" s="226"/>
      <c r="BO30" s="231"/>
      <c r="BP30" s="232"/>
      <c r="BQ30" s="227"/>
      <c r="BR30" s="227"/>
      <c r="BS30" s="226"/>
      <c r="BT30" s="240"/>
      <c r="BU30" s="240"/>
      <c r="BV30" s="240"/>
      <c r="BW30" s="226"/>
      <c r="BX30" s="227"/>
      <c r="BY30" s="227"/>
      <c r="BZ30" s="226"/>
      <c r="CA30" s="226"/>
      <c r="CB30" s="226"/>
      <c r="CC30" s="226"/>
      <c r="CD30" s="226"/>
      <c r="CE30" s="227"/>
      <c r="CF30" s="227"/>
      <c r="CG30" s="226"/>
      <c r="CH30" s="226"/>
      <c r="CI30" s="226"/>
      <c r="CJ30" s="226"/>
      <c r="CK30" s="226"/>
      <c r="CL30" s="227"/>
      <c r="CM30" s="227"/>
      <c r="CN30" s="226"/>
      <c r="CO30" s="226"/>
      <c r="CP30" s="226"/>
      <c r="CQ30" s="226"/>
      <c r="CR30" s="226"/>
      <c r="CS30" s="227"/>
      <c r="CT30" s="233"/>
      <c r="CU30" s="229"/>
      <c r="CV30" s="226"/>
      <c r="CW30" s="226"/>
    </row>
    <row r="31" ht="15">
      <c r="A31" s="221"/>
      <c r="B31" s="38" t="s">
        <v>94</v>
      </c>
      <c r="C31" s="39" t="s">
        <v>453</v>
      </c>
      <c r="D31" s="41" t="s">
        <v>29</v>
      </c>
      <c r="E31" s="48" t="s">
        <v>81</v>
      </c>
      <c r="F31" s="63">
        <v>46104</v>
      </c>
      <c r="G31" s="223">
        <v>46134</v>
      </c>
      <c r="H31" s="224"/>
      <c r="I31" s="225"/>
      <c r="J31" s="225"/>
      <c r="K31" s="225"/>
      <c r="L31" s="226"/>
      <c r="M31" s="227"/>
      <c r="N31" s="227"/>
      <c r="O31" s="226"/>
      <c r="P31" s="226"/>
      <c r="Q31" s="226"/>
      <c r="R31" s="226"/>
      <c r="S31" s="226"/>
      <c r="T31" s="227"/>
      <c r="U31" s="227"/>
      <c r="V31" s="226"/>
      <c r="W31" s="226"/>
      <c r="X31" s="226"/>
      <c r="Y31" s="226"/>
      <c r="Z31" s="226"/>
      <c r="AA31" s="227"/>
      <c r="AB31" s="227"/>
      <c r="AC31" s="226"/>
      <c r="AD31" s="226"/>
      <c r="AE31" s="226"/>
      <c r="AF31" s="226"/>
      <c r="AG31" s="226"/>
      <c r="AH31" s="227"/>
      <c r="AI31" s="227"/>
      <c r="AJ31" s="226"/>
      <c r="AK31" s="228"/>
      <c r="AL31" s="229"/>
      <c r="AM31" s="226"/>
      <c r="AN31" s="226"/>
      <c r="AO31" s="227"/>
      <c r="AP31" s="227"/>
      <c r="AQ31" s="226"/>
      <c r="AR31" s="226"/>
      <c r="AS31" s="226"/>
      <c r="AT31" s="226"/>
      <c r="AU31" s="226"/>
      <c r="AV31" s="227"/>
      <c r="AW31" s="227"/>
      <c r="AX31" s="226"/>
      <c r="AY31" s="226"/>
      <c r="AZ31" s="226"/>
      <c r="BA31" s="226"/>
      <c r="BB31" s="226"/>
      <c r="BC31" s="227"/>
      <c r="BD31" s="227"/>
      <c r="BE31" s="226"/>
      <c r="BF31" s="226"/>
      <c r="BG31" s="226"/>
      <c r="BH31" s="226"/>
      <c r="BI31" s="226"/>
      <c r="BJ31" s="227"/>
      <c r="BK31" s="227"/>
      <c r="BL31" s="230"/>
      <c r="BM31" s="226"/>
      <c r="BN31" s="226"/>
      <c r="BO31" s="231"/>
      <c r="BP31" s="232"/>
      <c r="BQ31" s="227"/>
      <c r="BR31" s="227"/>
      <c r="BS31" s="226"/>
      <c r="BT31" s="226"/>
      <c r="BU31" s="226"/>
      <c r="BV31" s="226"/>
      <c r="BW31" s="226"/>
      <c r="BX31" s="227"/>
      <c r="BY31" s="227"/>
      <c r="BZ31" s="226"/>
      <c r="CA31" s="226"/>
      <c r="CB31" s="226"/>
      <c r="CC31" s="226"/>
      <c r="CD31" s="226"/>
      <c r="CE31" s="227"/>
      <c r="CF31" s="227"/>
      <c r="CG31" s="226"/>
      <c r="CH31" s="226"/>
      <c r="CI31" s="226"/>
      <c r="CJ31" s="226"/>
      <c r="CK31" s="226"/>
      <c r="CL31" s="227"/>
      <c r="CM31" s="227"/>
      <c r="CN31" s="226"/>
      <c r="CO31" s="226"/>
      <c r="CP31" s="226"/>
      <c r="CQ31" s="226"/>
      <c r="CR31" s="226"/>
      <c r="CS31" s="227"/>
      <c r="CT31" s="233"/>
      <c r="CU31" s="229"/>
      <c r="CV31" s="226"/>
      <c r="CW31" s="226"/>
    </row>
    <row r="32" ht="14.25">
      <c r="A32" s="221"/>
      <c r="B32" s="45" t="s">
        <v>96</v>
      </c>
      <c r="C32" s="46" t="s">
        <v>440</v>
      </c>
      <c r="D32" s="41" t="s">
        <v>29</v>
      </c>
      <c r="E32" s="48" t="s">
        <v>138</v>
      </c>
      <c r="F32" s="63">
        <v>46104</v>
      </c>
      <c r="G32" s="223">
        <v>46122</v>
      </c>
      <c r="H32" s="224"/>
      <c r="I32" s="225"/>
      <c r="J32" s="225"/>
      <c r="K32" s="225"/>
      <c r="L32" s="226"/>
      <c r="M32" s="227"/>
      <c r="N32" s="227"/>
      <c r="O32" s="226"/>
      <c r="P32" s="226"/>
      <c r="Q32" s="226"/>
      <c r="R32" s="226"/>
      <c r="S32" s="226"/>
      <c r="T32" s="227"/>
      <c r="U32" s="227"/>
      <c r="V32" s="226"/>
      <c r="W32" s="226"/>
      <c r="X32" s="226"/>
      <c r="Y32" s="226"/>
      <c r="Z32" s="226"/>
      <c r="AA32" s="227"/>
      <c r="AB32" s="227"/>
      <c r="AC32" s="226"/>
      <c r="AD32" s="226"/>
      <c r="AE32" s="226"/>
      <c r="AF32" s="226"/>
      <c r="AG32" s="226"/>
      <c r="AH32" s="227"/>
      <c r="AI32" s="227"/>
      <c r="AJ32" s="226"/>
      <c r="AK32" s="228"/>
      <c r="AL32" s="229"/>
      <c r="AM32" s="226"/>
      <c r="AN32" s="226"/>
      <c r="AO32" s="227"/>
      <c r="AP32" s="227"/>
      <c r="AQ32" s="226"/>
      <c r="AR32" s="226"/>
      <c r="AS32" s="226"/>
      <c r="AT32" s="226"/>
      <c r="AU32" s="226"/>
      <c r="AV32" s="227"/>
      <c r="AW32" s="227"/>
      <c r="AX32" s="226"/>
      <c r="AY32" s="226"/>
      <c r="AZ32" s="226"/>
      <c r="BA32" s="226"/>
      <c r="BB32" s="226"/>
      <c r="BC32" s="227"/>
      <c r="BD32" s="227"/>
      <c r="BE32" s="226"/>
      <c r="BF32" s="226"/>
      <c r="BG32" s="226"/>
      <c r="BH32" s="226"/>
      <c r="BI32" s="226"/>
      <c r="BJ32" s="227"/>
      <c r="BK32" s="227"/>
      <c r="BL32" s="230"/>
      <c r="BM32" s="226"/>
      <c r="BN32" s="226"/>
      <c r="BO32" s="231"/>
      <c r="BP32" s="232"/>
      <c r="BQ32" s="227"/>
      <c r="BR32" s="227"/>
      <c r="BS32" s="226"/>
      <c r="BT32" s="226"/>
      <c r="BU32" s="226"/>
      <c r="BV32" s="226"/>
      <c r="BW32" s="226"/>
      <c r="BX32" s="227"/>
      <c r="BY32" s="227"/>
      <c r="BZ32" s="226"/>
      <c r="CA32" s="226"/>
      <c r="CB32" s="226"/>
      <c r="CC32" s="226"/>
      <c r="CD32" s="226"/>
      <c r="CE32" s="227"/>
      <c r="CF32" s="227"/>
      <c r="CG32" s="226"/>
      <c r="CH32" s="226"/>
      <c r="CI32" s="226"/>
      <c r="CJ32" s="226"/>
      <c r="CK32" s="226"/>
      <c r="CL32" s="227"/>
      <c r="CM32" s="227"/>
      <c r="CN32" s="226"/>
      <c r="CO32" s="226"/>
      <c r="CP32" s="226"/>
      <c r="CQ32" s="226"/>
      <c r="CR32" s="226"/>
      <c r="CS32" s="227"/>
      <c r="CT32" s="233"/>
      <c r="CU32" s="229"/>
      <c r="CV32" s="226"/>
      <c r="CW32" s="226"/>
    </row>
    <row r="33" ht="14.25">
      <c r="A33" s="221"/>
      <c r="B33" s="61" t="s">
        <v>98</v>
      </c>
      <c r="C33" s="62" t="s">
        <v>444</v>
      </c>
      <c r="D33" s="41" t="s">
        <v>29</v>
      </c>
      <c r="E33" s="48" t="s">
        <v>138</v>
      </c>
      <c r="F33" s="63">
        <v>46104</v>
      </c>
      <c r="G33" s="223">
        <v>46122</v>
      </c>
      <c r="H33" s="224"/>
      <c r="I33" s="225"/>
      <c r="J33" s="225"/>
      <c r="K33" s="225"/>
      <c r="L33" s="226"/>
      <c r="M33" s="227"/>
      <c r="N33" s="227"/>
      <c r="O33" s="226"/>
      <c r="P33" s="226"/>
      <c r="Q33" s="226"/>
      <c r="R33" s="226"/>
      <c r="S33" s="226"/>
      <c r="T33" s="227"/>
      <c r="U33" s="227"/>
      <c r="V33" s="226"/>
      <c r="W33" s="226"/>
      <c r="X33" s="226"/>
      <c r="Y33" s="226"/>
      <c r="Z33" s="226"/>
      <c r="AA33" s="227"/>
      <c r="AB33" s="227"/>
      <c r="AC33" s="237"/>
      <c r="AD33" s="237"/>
      <c r="AE33" s="237"/>
      <c r="AF33" s="237"/>
      <c r="AG33" s="237"/>
      <c r="AH33" s="227"/>
      <c r="AI33" s="227"/>
      <c r="AJ33" s="237"/>
      <c r="AK33" s="238"/>
      <c r="AL33" s="239"/>
      <c r="AM33" s="237"/>
      <c r="AN33" s="237"/>
      <c r="AO33" s="227"/>
      <c r="AP33" s="227"/>
      <c r="AQ33" s="237"/>
      <c r="AR33" s="237"/>
      <c r="AS33" s="237"/>
      <c r="AT33" s="237"/>
      <c r="AU33" s="237"/>
      <c r="AV33" s="227"/>
      <c r="AW33" s="227"/>
      <c r="AX33" s="226"/>
      <c r="AY33" s="226"/>
      <c r="AZ33" s="226"/>
      <c r="BA33" s="226"/>
      <c r="BB33" s="226"/>
      <c r="BC33" s="227"/>
      <c r="BD33" s="227"/>
      <c r="BE33" s="226"/>
      <c r="BF33" s="226"/>
      <c r="BG33" s="226"/>
      <c r="BH33" s="226"/>
      <c r="BI33" s="226"/>
      <c r="BJ33" s="227"/>
      <c r="BK33" s="227"/>
      <c r="BL33" s="230"/>
      <c r="BM33" s="226"/>
      <c r="BN33" s="226"/>
      <c r="BO33" s="231"/>
      <c r="BP33" s="232"/>
      <c r="BQ33" s="227"/>
      <c r="BR33" s="227"/>
      <c r="BS33" s="226"/>
      <c r="BT33" s="226"/>
      <c r="BU33" s="226"/>
      <c r="BV33" s="226"/>
      <c r="BW33" s="226"/>
      <c r="BX33" s="227"/>
      <c r="BY33" s="227"/>
      <c r="BZ33" s="226"/>
      <c r="CA33" s="226"/>
      <c r="CB33" s="226"/>
      <c r="CC33" s="226"/>
      <c r="CD33" s="226"/>
      <c r="CE33" s="227"/>
      <c r="CF33" s="227"/>
      <c r="CG33" s="226"/>
      <c r="CH33" s="226"/>
      <c r="CI33" s="226"/>
      <c r="CJ33" s="226"/>
      <c r="CK33" s="226"/>
      <c r="CL33" s="227"/>
      <c r="CM33" s="227"/>
      <c r="CN33" s="226"/>
      <c r="CO33" s="226"/>
      <c r="CP33" s="226"/>
      <c r="CQ33" s="226"/>
      <c r="CR33" s="226"/>
      <c r="CS33" s="227"/>
      <c r="CT33" s="233"/>
      <c r="CU33" s="229"/>
      <c r="CV33" s="226"/>
      <c r="CW33" s="226"/>
    </row>
    <row r="34" ht="14.25">
      <c r="A34" s="221"/>
      <c r="B34" s="45" t="s">
        <v>106</v>
      </c>
      <c r="C34" s="46" t="s">
        <v>446</v>
      </c>
      <c r="D34" s="41" t="s">
        <v>447</v>
      </c>
      <c r="E34" s="48" t="s">
        <v>454</v>
      </c>
      <c r="F34" s="63">
        <v>46125</v>
      </c>
      <c r="G34" s="223">
        <v>46324</v>
      </c>
      <c r="H34" s="224"/>
      <c r="I34" s="225"/>
      <c r="J34" s="225"/>
      <c r="K34" s="225"/>
      <c r="L34" s="226"/>
      <c r="M34" s="227"/>
      <c r="N34" s="227"/>
      <c r="O34" s="226"/>
      <c r="P34" s="226"/>
      <c r="Q34" s="226"/>
      <c r="R34" s="226"/>
      <c r="S34" s="226"/>
      <c r="T34" s="227"/>
      <c r="U34" s="227"/>
      <c r="V34" s="226"/>
      <c r="W34" s="226"/>
      <c r="X34" s="226"/>
      <c r="Y34" s="226"/>
      <c r="Z34" s="226"/>
      <c r="AA34" s="227"/>
      <c r="AB34" s="227"/>
      <c r="AC34" s="226"/>
      <c r="AD34" s="226"/>
      <c r="AE34" s="226"/>
      <c r="AF34" s="226"/>
      <c r="AG34" s="226"/>
      <c r="AH34" s="227"/>
      <c r="AI34" s="227"/>
      <c r="AJ34" s="226"/>
      <c r="AK34" s="228"/>
      <c r="AL34" s="229"/>
      <c r="AM34" s="226"/>
      <c r="AN34" s="226"/>
      <c r="AO34" s="227"/>
      <c r="AP34" s="227"/>
      <c r="AQ34" s="226"/>
      <c r="AR34" s="226"/>
      <c r="AS34" s="226"/>
      <c r="AT34" s="226"/>
      <c r="AU34" s="226"/>
      <c r="AV34" s="227"/>
      <c r="AW34" s="227"/>
      <c r="AX34" s="226"/>
      <c r="AY34" s="226"/>
      <c r="AZ34" s="226"/>
      <c r="BA34" s="226"/>
      <c r="BB34" s="226"/>
      <c r="BC34" s="227"/>
      <c r="BD34" s="227"/>
      <c r="BE34" s="226"/>
      <c r="BF34" s="226"/>
      <c r="BG34" s="226"/>
      <c r="BH34" s="226"/>
      <c r="BI34" s="226"/>
      <c r="BJ34" s="227"/>
      <c r="BK34" s="227"/>
      <c r="BL34" s="230"/>
      <c r="BM34" s="226"/>
      <c r="BN34" s="226"/>
      <c r="BO34" s="231"/>
      <c r="BP34" s="232"/>
      <c r="BQ34" s="227"/>
      <c r="BR34" s="227"/>
      <c r="BS34" s="226"/>
      <c r="BT34" s="226"/>
      <c r="BU34" s="226"/>
      <c r="BV34" s="226"/>
      <c r="BW34" s="226"/>
      <c r="BX34" s="227"/>
      <c r="BY34" s="227"/>
      <c r="BZ34" s="226"/>
      <c r="CA34" s="226"/>
      <c r="CB34" s="226"/>
      <c r="CC34" s="226"/>
      <c r="CD34" s="226"/>
      <c r="CE34" s="227"/>
      <c r="CF34" s="227"/>
      <c r="CG34" s="226"/>
      <c r="CH34" s="226"/>
      <c r="CI34" s="226"/>
      <c r="CJ34" s="226"/>
      <c r="CK34" s="226"/>
      <c r="CL34" s="227"/>
      <c r="CM34" s="227"/>
      <c r="CN34" s="226"/>
      <c r="CO34" s="226"/>
      <c r="CP34" s="226"/>
      <c r="CQ34" s="226"/>
      <c r="CR34" s="226"/>
      <c r="CS34" s="227"/>
      <c r="CT34" s="233"/>
      <c r="CU34" s="229"/>
      <c r="CV34" s="226"/>
      <c r="CW34" s="226"/>
    </row>
    <row r="35" ht="14.25">
      <c r="A35" s="221"/>
      <c r="B35" s="61" t="s">
        <v>108</v>
      </c>
      <c r="C35" s="62" t="s">
        <v>449</v>
      </c>
      <c r="D35" s="41" t="s">
        <v>447</v>
      </c>
      <c r="E35" s="48" t="s">
        <v>52</v>
      </c>
      <c r="F35" s="63">
        <v>46125</v>
      </c>
      <c r="G35" s="223">
        <v>46127</v>
      </c>
      <c r="H35" s="224"/>
      <c r="I35" s="225"/>
      <c r="J35" s="225"/>
      <c r="K35" s="225"/>
      <c r="L35" s="226"/>
      <c r="M35" s="227"/>
      <c r="N35" s="227"/>
      <c r="O35" s="226"/>
      <c r="P35" s="226"/>
      <c r="Q35" s="226"/>
      <c r="R35" s="226"/>
      <c r="S35" s="226"/>
      <c r="T35" s="227"/>
      <c r="U35" s="227"/>
      <c r="V35" s="226"/>
      <c r="W35" s="226"/>
      <c r="X35" s="226"/>
      <c r="Y35" s="226"/>
      <c r="Z35" s="226"/>
      <c r="AA35" s="227"/>
      <c r="AB35" s="227"/>
      <c r="AC35" s="226"/>
      <c r="AD35" s="226"/>
      <c r="AE35" s="226"/>
      <c r="AF35" s="226"/>
      <c r="AG35" s="226"/>
      <c r="AH35" s="227"/>
      <c r="AI35" s="227"/>
      <c r="AJ35" s="226"/>
      <c r="AK35" s="228"/>
      <c r="AL35" s="229"/>
      <c r="AM35" s="226"/>
      <c r="AN35" s="226"/>
      <c r="AO35" s="227"/>
      <c r="AP35" s="227"/>
      <c r="AQ35" s="226"/>
      <c r="AR35" s="226"/>
      <c r="AS35" s="226"/>
      <c r="AT35" s="226"/>
      <c r="AU35" s="226"/>
      <c r="AV35" s="227"/>
      <c r="AW35" s="227"/>
      <c r="AX35" s="237"/>
      <c r="AY35" s="237"/>
      <c r="AZ35" s="237"/>
      <c r="BA35" s="226"/>
      <c r="BB35" s="226"/>
      <c r="BC35" s="227"/>
      <c r="BD35" s="227"/>
      <c r="BE35" s="226"/>
      <c r="BF35" s="226"/>
      <c r="BG35" s="226"/>
      <c r="BH35" s="226"/>
      <c r="BI35" s="226"/>
      <c r="BJ35" s="227"/>
      <c r="BK35" s="227"/>
      <c r="BL35" s="230"/>
      <c r="BM35" s="226"/>
      <c r="BN35" s="226"/>
      <c r="BO35" s="231"/>
      <c r="BP35" s="232"/>
      <c r="BQ35" s="227"/>
      <c r="BR35" s="227"/>
      <c r="BS35" s="226"/>
      <c r="BT35" s="226"/>
      <c r="BU35" s="226"/>
      <c r="BV35" s="226"/>
      <c r="BW35" s="226"/>
      <c r="BX35" s="227"/>
      <c r="BY35" s="227"/>
      <c r="BZ35" s="226"/>
      <c r="CA35" s="226"/>
      <c r="CB35" s="226"/>
      <c r="CC35" s="226"/>
      <c r="CD35" s="226"/>
      <c r="CE35" s="227"/>
      <c r="CF35" s="227"/>
      <c r="CG35" s="226"/>
      <c r="CH35" s="226"/>
      <c r="CI35" s="226"/>
      <c r="CJ35" s="226"/>
      <c r="CK35" s="226"/>
      <c r="CL35" s="227"/>
      <c r="CM35" s="227"/>
      <c r="CN35" s="226"/>
      <c r="CO35" s="226"/>
      <c r="CP35" s="226"/>
      <c r="CQ35" s="226"/>
      <c r="CR35" s="226"/>
      <c r="CS35" s="227"/>
      <c r="CT35" s="233"/>
      <c r="CU35" s="229"/>
      <c r="CV35" s="226"/>
      <c r="CW35" s="226"/>
    </row>
    <row r="36" ht="14.25">
      <c r="A36" s="221"/>
      <c r="B36" s="61" t="s">
        <v>111</v>
      </c>
      <c r="C36" s="62" t="s">
        <v>450</v>
      </c>
      <c r="D36" s="41" t="s">
        <v>447</v>
      </c>
      <c r="E36" s="48" t="s">
        <v>52</v>
      </c>
      <c r="F36" s="63">
        <v>46128</v>
      </c>
      <c r="G36" s="223">
        <v>46132</v>
      </c>
      <c r="H36" s="224"/>
      <c r="I36" s="225"/>
      <c r="J36" s="225"/>
      <c r="K36" s="225"/>
      <c r="L36" s="226"/>
      <c r="M36" s="227"/>
      <c r="N36" s="227"/>
      <c r="O36" s="226"/>
      <c r="P36" s="226"/>
      <c r="Q36" s="226"/>
      <c r="R36" s="226"/>
      <c r="S36" s="226"/>
      <c r="T36" s="227"/>
      <c r="U36" s="227"/>
      <c r="V36" s="226"/>
      <c r="W36" s="226"/>
      <c r="X36" s="226"/>
      <c r="Y36" s="226"/>
      <c r="Z36" s="226"/>
      <c r="AA36" s="227"/>
      <c r="AB36" s="227"/>
      <c r="AC36" s="226"/>
      <c r="AD36" s="226"/>
      <c r="AE36" s="226"/>
      <c r="AF36" s="226"/>
      <c r="AG36" s="226"/>
      <c r="AH36" s="227"/>
      <c r="AI36" s="227"/>
      <c r="AJ36" s="226"/>
      <c r="AK36" s="228"/>
      <c r="AL36" s="229"/>
      <c r="AM36" s="226"/>
      <c r="AN36" s="226"/>
      <c r="AO36" s="227"/>
      <c r="AP36" s="227"/>
      <c r="AQ36" s="226"/>
      <c r="AR36" s="226"/>
      <c r="AS36" s="226"/>
      <c r="AT36" s="226"/>
      <c r="AU36" s="226"/>
      <c r="AV36" s="227"/>
      <c r="AW36" s="227"/>
      <c r="AX36" s="226"/>
      <c r="AY36" s="226"/>
      <c r="AZ36" s="226"/>
      <c r="BA36" s="237"/>
      <c r="BB36" s="237"/>
      <c r="BC36" s="227"/>
      <c r="BD36" s="227"/>
      <c r="BE36" s="237"/>
      <c r="BF36" s="226"/>
      <c r="BG36" s="226"/>
      <c r="BH36" s="226"/>
      <c r="BI36" s="226"/>
      <c r="BJ36" s="227"/>
      <c r="BK36" s="227"/>
      <c r="BL36" s="230"/>
      <c r="BM36" s="226"/>
      <c r="BN36" s="226"/>
      <c r="BO36" s="231"/>
      <c r="BP36" s="232"/>
      <c r="BQ36" s="227"/>
      <c r="BR36" s="227"/>
      <c r="BS36" s="226"/>
      <c r="BT36" s="226"/>
      <c r="BU36" s="226"/>
      <c r="BV36" s="226"/>
      <c r="BW36" s="226"/>
      <c r="BX36" s="227"/>
      <c r="BY36" s="227"/>
      <c r="BZ36" s="226"/>
      <c r="CA36" s="226"/>
      <c r="CB36" s="226"/>
      <c r="CC36" s="226"/>
      <c r="CD36" s="226"/>
      <c r="CE36" s="227"/>
      <c r="CF36" s="227"/>
      <c r="CG36" s="226"/>
      <c r="CH36" s="226"/>
      <c r="CI36" s="226"/>
      <c r="CJ36" s="226"/>
      <c r="CK36" s="226"/>
      <c r="CL36" s="227"/>
      <c r="CM36" s="227"/>
      <c r="CN36" s="226"/>
      <c r="CO36" s="226"/>
      <c r="CP36" s="226"/>
      <c r="CQ36" s="226"/>
      <c r="CR36" s="226"/>
      <c r="CS36" s="227"/>
      <c r="CT36" s="233"/>
      <c r="CU36" s="229"/>
      <c r="CV36" s="226"/>
      <c r="CW36" s="226"/>
    </row>
    <row r="37" ht="14.25">
      <c r="A37" s="221"/>
      <c r="B37" s="61" t="s">
        <v>113</v>
      </c>
      <c r="C37" s="62" t="s">
        <v>455</v>
      </c>
      <c r="D37" s="41" t="s">
        <v>447</v>
      </c>
      <c r="E37" s="48" t="s">
        <v>39</v>
      </c>
      <c r="F37" s="63">
        <v>46133</v>
      </c>
      <c r="G37" s="223">
        <v>46134</v>
      </c>
      <c r="H37" s="224"/>
      <c r="I37" s="225"/>
      <c r="J37" s="225"/>
      <c r="K37" s="225"/>
      <c r="L37" s="226"/>
      <c r="M37" s="227"/>
      <c r="N37" s="227"/>
      <c r="O37" s="226"/>
      <c r="P37" s="226"/>
      <c r="Q37" s="226"/>
      <c r="R37" s="226"/>
      <c r="S37" s="226"/>
      <c r="T37" s="227"/>
      <c r="U37" s="227"/>
      <c r="V37" s="226"/>
      <c r="W37" s="226"/>
      <c r="X37" s="226"/>
      <c r="Y37" s="226"/>
      <c r="Z37" s="226"/>
      <c r="AA37" s="227"/>
      <c r="AB37" s="227"/>
      <c r="AC37" s="226"/>
      <c r="AD37" s="226"/>
      <c r="AE37" s="226"/>
      <c r="AF37" s="226"/>
      <c r="AG37" s="226"/>
      <c r="AH37" s="227"/>
      <c r="AI37" s="227"/>
      <c r="AJ37" s="226"/>
      <c r="AK37" s="228"/>
      <c r="AL37" s="229"/>
      <c r="AM37" s="226"/>
      <c r="AN37" s="226"/>
      <c r="AO37" s="227"/>
      <c r="AP37" s="227"/>
      <c r="AQ37" s="226"/>
      <c r="AR37" s="226"/>
      <c r="AS37" s="226"/>
      <c r="AT37" s="226"/>
      <c r="AU37" s="226"/>
      <c r="AV37" s="227"/>
      <c r="AW37" s="227"/>
      <c r="AX37" s="226"/>
      <c r="AY37" s="226"/>
      <c r="AZ37" s="226"/>
      <c r="BA37" s="226"/>
      <c r="BB37" s="226"/>
      <c r="BC37" s="227"/>
      <c r="BD37" s="227"/>
      <c r="BE37" s="226"/>
      <c r="BF37" s="237"/>
      <c r="BG37" s="237"/>
      <c r="BH37" s="226"/>
      <c r="BI37" s="226"/>
      <c r="BJ37" s="227"/>
      <c r="BK37" s="227"/>
      <c r="BL37" s="230"/>
      <c r="BM37" s="226"/>
      <c r="BN37" s="226"/>
      <c r="BO37" s="231"/>
      <c r="BP37" s="232"/>
      <c r="BQ37" s="227"/>
      <c r="BR37" s="227"/>
      <c r="BS37" s="226"/>
      <c r="BT37" s="226"/>
      <c r="BU37" s="226"/>
      <c r="BV37" s="226"/>
      <c r="BW37" s="226"/>
      <c r="BX37" s="227"/>
      <c r="BY37" s="227"/>
      <c r="BZ37" s="226"/>
      <c r="CA37" s="226"/>
      <c r="CB37" s="226"/>
      <c r="CC37" s="226"/>
      <c r="CD37" s="226"/>
      <c r="CE37" s="227"/>
      <c r="CF37" s="227"/>
      <c r="CG37" s="226"/>
      <c r="CH37" s="226"/>
      <c r="CI37" s="226"/>
      <c r="CJ37" s="226"/>
      <c r="CK37" s="226"/>
      <c r="CL37" s="227"/>
      <c r="CM37" s="227"/>
      <c r="CN37" s="226"/>
      <c r="CO37" s="226"/>
      <c r="CP37" s="226"/>
      <c r="CQ37" s="226"/>
      <c r="CR37" s="226"/>
      <c r="CS37" s="227"/>
      <c r="CT37" s="233"/>
      <c r="CU37" s="229"/>
      <c r="CV37" s="226"/>
      <c r="CW37" s="226"/>
    </row>
    <row r="38" ht="15">
      <c r="A38" s="221"/>
      <c r="B38" s="38" t="s">
        <v>117</v>
      </c>
      <c r="C38" s="39" t="s">
        <v>118</v>
      </c>
      <c r="D38" s="41" t="s">
        <v>29</v>
      </c>
      <c r="E38" s="48" t="s">
        <v>448</v>
      </c>
      <c r="F38" s="63">
        <v>46132</v>
      </c>
      <c r="G38" s="223">
        <v>46354</v>
      </c>
      <c r="H38" s="224"/>
      <c r="I38" s="225"/>
      <c r="J38" s="225"/>
      <c r="K38" s="225"/>
      <c r="L38" s="226"/>
      <c r="M38" s="227"/>
      <c r="N38" s="227"/>
      <c r="O38" s="226"/>
      <c r="P38" s="226"/>
      <c r="Q38" s="226"/>
      <c r="R38" s="226"/>
      <c r="S38" s="226"/>
      <c r="T38" s="227"/>
      <c r="U38" s="227"/>
      <c r="V38" s="226"/>
      <c r="W38" s="226"/>
      <c r="X38" s="226"/>
      <c r="Y38" s="226"/>
      <c r="Z38" s="226"/>
      <c r="AA38" s="227"/>
      <c r="AB38" s="227"/>
      <c r="AC38" s="226"/>
      <c r="AD38" s="226"/>
      <c r="AE38" s="226"/>
      <c r="AF38" s="226"/>
      <c r="AG38" s="226"/>
      <c r="AH38" s="227"/>
      <c r="AI38" s="227"/>
      <c r="AJ38" s="226"/>
      <c r="AK38" s="228"/>
      <c r="AL38" s="229"/>
      <c r="AM38" s="226"/>
      <c r="AN38" s="226"/>
      <c r="AO38" s="227"/>
      <c r="AP38" s="227"/>
      <c r="AQ38" s="226"/>
      <c r="AR38" s="226"/>
      <c r="AS38" s="226"/>
      <c r="AT38" s="226"/>
      <c r="AU38" s="226"/>
      <c r="AV38" s="227"/>
      <c r="AW38" s="227"/>
      <c r="AX38" s="226"/>
      <c r="AY38" s="226"/>
      <c r="AZ38" s="226"/>
      <c r="BA38" s="226"/>
      <c r="BB38" s="226"/>
      <c r="BC38" s="227"/>
      <c r="BD38" s="227"/>
      <c r="BE38" s="226"/>
      <c r="BF38" s="226"/>
      <c r="BG38" s="226"/>
      <c r="BH38" s="226"/>
      <c r="BI38" s="226"/>
      <c r="BJ38" s="227"/>
      <c r="BK38" s="227"/>
      <c r="BL38" s="230"/>
      <c r="BM38" s="226"/>
      <c r="BN38" s="226"/>
      <c r="BO38" s="231"/>
      <c r="BP38" s="232"/>
      <c r="BQ38" s="227"/>
      <c r="BR38" s="227"/>
      <c r="BS38" s="226"/>
      <c r="BT38" s="226"/>
      <c r="BU38" s="226"/>
      <c r="BV38" s="226"/>
      <c r="BW38" s="226"/>
      <c r="BX38" s="227"/>
      <c r="BY38" s="227"/>
      <c r="BZ38" s="226"/>
      <c r="CA38" s="226"/>
      <c r="CB38" s="226"/>
      <c r="CC38" s="226"/>
      <c r="CD38" s="226"/>
      <c r="CE38" s="227"/>
      <c r="CF38" s="227"/>
      <c r="CG38" s="226"/>
      <c r="CH38" s="226"/>
      <c r="CI38" s="226"/>
      <c r="CJ38" s="226"/>
      <c r="CK38" s="226"/>
      <c r="CL38" s="227"/>
      <c r="CM38" s="227"/>
      <c r="CN38" s="226"/>
      <c r="CO38" s="226"/>
      <c r="CP38" s="226"/>
      <c r="CQ38" s="226"/>
      <c r="CR38" s="226"/>
      <c r="CS38" s="227"/>
      <c r="CT38" s="233"/>
      <c r="CU38" s="229"/>
      <c r="CV38" s="226"/>
      <c r="CW38" s="226"/>
    </row>
    <row r="39" ht="14.25">
      <c r="A39" s="221"/>
      <c r="B39" s="45" t="s">
        <v>120</v>
      </c>
      <c r="C39" s="46" t="s">
        <v>121</v>
      </c>
      <c r="D39" s="41">
        <v>2.1000000000000001</v>
      </c>
      <c r="E39" s="48" t="s">
        <v>52</v>
      </c>
      <c r="F39" s="63">
        <v>46132</v>
      </c>
      <c r="G39" s="223">
        <v>46134</v>
      </c>
      <c r="H39" s="224"/>
      <c r="I39" s="225"/>
      <c r="J39" s="225"/>
      <c r="K39" s="225"/>
      <c r="L39" s="226"/>
      <c r="M39" s="227"/>
      <c r="N39" s="227"/>
      <c r="O39" s="226"/>
      <c r="P39" s="226"/>
      <c r="Q39" s="226"/>
      <c r="R39" s="226"/>
      <c r="S39" s="226"/>
      <c r="T39" s="227"/>
      <c r="U39" s="227"/>
      <c r="V39" s="226"/>
      <c r="W39" s="226"/>
      <c r="X39" s="226"/>
      <c r="Y39" s="226"/>
      <c r="Z39" s="226"/>
      <c r="AA39" s="227"/>
      <c r="AB39" s="227"/>
      <c r="AC39" s="226"/>
      <c r="AD39" s="226"/>
      <c r="AE39" s="226"/>
      <c r="AF39" s="226"/>
      <c r="AG39" s="226"/>
      <c r="AH39" s="227"/>
      <c r="AI39" s="227"/>
      <c r="AJ39" s="226"/>
      <c r="AK39" s="228"/>
      <c r="AL39" s="229"/>
      <c r="AM39" s="226"/>
      <c r="AN39" s="226"/>
      <c r="AO39" s="227"/>
      <c r="AP39" s="227"/>
      <c r="AQ39" s="226"/>
      <c r="AR39" s="226"/>
      <c r="AS39" s="226"/>
      <c r="AT39" s="226"/>
      <c r="AU39" s="226"/>
      <c r="AV39" s="227"/>
      <c r="AW39" s="227"/>
      <c r="AX39" s="226"/>
      <c r="AY39" s="226"/>
      <c r="AZ39" s="226"/>
      <c r="BA39" s="226"/>
      <c r="BB39" s="226"/>
      <c r="BC39" s="227"/>
      <c r="BD39" s="227"/>
      <c r="BE39" s="237"/>
      <c r="BF39" s="237"/>
      <c r="BG39" s="237"/>
      <c r="BH39" s="226"/>
      <c r="BI39" s="226"/>
      <c r="BJ39" s="227"/>
      <c r="BK39" s="227"/>
      <c r="BL39" s="230"/>
      <c r="BM39" s="226"/>
      <c r="BN39" s="226"/>
      <c r="BO39" s="231"/>
      <c r="BP39" s="232"/>
      <c r="BQ39" s="227"/>
      <c r="BR39" s="227"/>
      <c r="BS39" s="226"/>
      <c r="BT39" s="226"/>
      <c r="BU39" s="226"/>
      <c r="BV39" s="226"/>
      <c r="BW39" s="226"/>
      <c r="BX39" s="227"/>
      <c r="BY39" s="227"/>
      <c r="BZ39" s="226"/>
      <c r="CA39" s="226"/>
      <c r="CB39" s="226"/>
      <c r="CC39" s="226"/>
      <c r="CD39" s="226"/>
      <c r="CE39" s="227"/>
      <c r="CF39" s="227"/>
      <c r="CG39" s="226"/>
      <c r="CH39" s="226"/>
      <c r="CI39" s="226"/>
      <c r="CJ39" s="226"/>
      <c r="CK39" s="226"/>
      <c r="CL39" s="227"/>
      <c r="CM39" s="227"/>
      <c r="CN39" s="226"/>
      <c r="CO39" s="226"/>
      <c r="CP39" s="226"/>
      <c r="CQ39" s="226"/>
      <c r="CR39" s="226"/>
      <c r="CS39" s="227"/>
      <c r="CT39" s="233"/>
      <c r="CU39" s="229"/>
      <c r="CV39" s="226"/>
      <c r="CW39" s="226"/>
    </row>
    <row r="40" ht="14.25">
      <c r="A40" s="221"/>
      <c r="B40" s="45" t="s">
        <v>123</v>
      </c>
      <c r="C40" s="246" t="s">
        <v>124</v>
      </c>
      <c r="D40" s="41">
        <v>2.1000000000000001</v>
      </c>
      <c r="E40" s="243" t="s">
        <v>39</v>
      </c>
      <c r="F40" s="63">
        <v>46135</v>
      </c>
      <c r="G40" s="223">
        <v>46136</v>
      </c>
      <c r="H40" s="224"/>
      <c r="I40" s="225"/>
      <c r="J40" s="225"/>
      <c r="K40" s="225"/>
      <c r="L40" s="226"/>
      <c r="M40" s="227"/>
      <c r="N40" s="227"/>
      <c r="O40" s="226"/>
      <c r="P40" s="226"/>
      <c r="Q40" s="226"/>
      <c r="R40" s="226"/>
      <c r="S40" s="226"/>
      <c r="T40" s="227"/>
      <c r="U40" s="227"/>
      <c r="V40" s="226"/>
      <c r="W40" s="226"/>
      <c r="X40" s="226"/>
      <c r="Y40" s="226"/>
      <c r="Z40" s="226"/>
      <c r="AA40" s="227"/>
      <c r="AB40" s="227"/>
      <c r="AC40" s="226"/>
      <c r="AD40" s="226"/>
      <c r="AE40" s="226"/>
      <c r="AF40" s="226"/>
      <c r="AG40" s="226"/>
      <c r="AH40" s="227"/>
      <c r="AI40" s="227"/>
      <c r="AJ40" s="226"/>
      <c r="AK40" s="228"/>
      <c r="AL40" s="229"/>
      <c r="AM40" s="226"/>
      <c r="AN40" s="226"/>
      <c r="AO40" s="227"/>
      <c r="AP40" s="227"/>
      <c r="AQ40" s="226"/>
      <c r="AR40" s="226"/>
      <c r="AS40" s="226"/>
      <c r="AT40" s="226"/>
      <c r="AU40" s="226"/>
      <c r="AV40" s="227"/>
      <c r="AW40" s="227"/>
      <c r="AX40" s="226"/>
      <c r="AY40" s="226"/>
      <c r="AZ40" s="226"/>
      <c r="BA40" s="226"/>
      <c r="BB40" s="226"/>
      <c r="BC40" s="227"/>
      <c r="BD40" s="227"/>
      <c r="BE40" s="226"/>
      <c r="BF40" s="226"/>
      <c r="BG40" s="226"/>
      <c r="BH40" s="237"/>
      <c r="BI40" s="237"/>
      <c r="BJ40" s="227"/>
      <c r="BK40" s="227"/>
      <c r="BL40" s="230"/>
      <c r="BM40" s="226"/>
      <c r="BN40" s="226"/>
      <c r="BO40" s="231"/>
      <c r="BP40" s="232"/>
      <c r="BQ40" s="227"/>
      <c r="BR40" s="227"/>
      <c r="BS40" s="226"/>
      <c r="BT40" s="226"/>
      <c r="BU40" s="226"/>
      <c r="BV40" s="226"/>
      <c r="BW40" s="226"/>
      <c r="BX40" s="227"/>
      <c r="BY40" s="227"/>
      <c r="BZ40" s="226"/>
      <c r="CA40" s="226"/>
      <c r="CB40" s="226"/>
      <c r="CC40" s="226"/>
      <c r="CD40" s="226"/>
      <c r="CE40" s="227"/>
      <c r="CF40" s="227"/>
      <c r="CG40" s="226"/>
      <c r="CH40" s="226"/>
      <c r="CI40" s="226"/>
      <c r="CJ40" s="226"/>
      <c r="CK40" s="226"/>
      <c r="CL40" s="227"/>
      <c r="CM40" s="227"/>
      <c r="CN40" s="226"/>
      <c r="CO40" s="226"/>
      <c r="CP40" s="226"/>
      <c r="CQ40" s="226"/>
      <c r="CR40" s="226"/>
      <c r="CS40" s="227"/>
      <c r="CT40" s="233"/>
      <c r="CU40" s="229"/>
      <c r="CV40" s="226"/>
      <c r="CW40" s="226"/>
    </row>
    <row r="41" ht="14.25">
      <c r="A41" s="221"/>
      <c r="B41" s="45" t="s">
        <v>125</v>
      </c>
      <c r="C41" s="46" t="s">
        <v>128</v>
      </c>
      <c r="D41" s="41">
        <v>2.1000000000000001</v>
      </c>
      <c r="E41" s="48" t="s">
        <v>39</v>
      </c>
      <c r="F41" s="63">
        <v>46140</v>
      </c>
      <c r="G41" s="223">
        <v>46141</v>
      </c>
      <c r="H41" s="224"/>
      <c r="I41" s="225"/>
      <c r="J41" s="225"/>
      <c r="K41" s="225"/>
      <c r="L41" s="226"/>
      <c r="M41" s="227"/>
      <c r="N41" s="227"/>
      <c r="O41" s="226"/>
      <c r="P41" s="226"/>
      <c r="Q41" s="226"/>
      <c r="R41" s="226"/>
      <c r="S41" s="226"/>
      <c r="T41" s="227"/>
      <c r="U41" s="227"/>
      <c r="V41" s="226"/>
      <c r="W41" s="226"/>
      <c r="X41" s="226"/>
      <c r="Y41" s="226"/>
      <c r="Z41" s="226"/>
      <c r="AA41" s="227"/>
      <c r="AB41" s="227"/>
      <c r="AC41" s="226"/>
      <c r="AD41" s="226"/>
      <c r="AE41" s="226"/>
      <c r="AF41" s="226"/>
      <c r="AG41" s="226"/>
      <c r="AH41" s="227"/>
      <c r="AI41" s="227"/>
      <c r="AJ41" s="226"/>
      <c r="AK41" s="228"/>
      <c r="AL41" s="229"/>
      <c r="AM41" s="226"/>
      <c r="AN41" s="226"/>
      <c r="AO41" s="227"/>
      <c r="AP41" s="227"/>
      <c r="AQ41" s="226"/>
      <c r="AR41" s="226"/>
      <c r="AS41" s="226"/>
      <c r="AT41" s="226"/>
      <c r="AU41" s="226"/>
      <c r="AV41" s="227"/>
      <c r="AW41" s="227"/>
      <c r="AX41" s="226"/>
      <c r="AY41" s="226"/>
      <c r="AZ41" s="226"/>
      <c r="BA41" s="226"/>
      <c r="BB41" s="226"/>
      <c r="BC41" s="227"/>
      <c r="BD41" s="227"/>
      <c r="BE41" s="226"/>
      <c r="BF41" s="226"/>
      <c r="BG41" s="226"/>
      <c r="BH41" s="226"/>
      <c r="BI41" s="226"/>
      <c r="BJ41" s="227"/>
      <c r="BK41" s="227"/>
      <c r="BL41" s="230"/>
      <c r="BM41" s="237"/>
      <c r="BN41" s="237"/>
      <c r="BO41" s="231"/>
      <c r="BP41" s="232"/>
      <c r="BQ41" s="227"/>
      <c r="BR41" s="227"/>
      <c r="BS41" s="226"/>
      <c r="BT41" s="226"/>
      <c r="BU41" s="226"/>
      <c r="BV41" s="226"/>
      <c r="BW41" s="226"/>
      <c r="BX41" s="227"/>
      <c r="BY41" s="227"/>
      <c r="BZ41" s="226"/>
      <c r="CA41" s="226"/>
      <c r="CB41" s="226"/>
      <c r="CC41" s="226"/>
      <c r="CD41" s="226"/>
      <c r="CE41" s="227"/>
      <c r="CF41" s="227"/>
      <c r="CG41" s="226"/>
      <c r="CH41" s="226"/>
      <c r="CI41" s="226"/>
      <c r="CJ41" s="226"/>
      <c r="CK41" s="226"/>
      <c r="CL41" s="227"/>
      <c r="CM41" s="227"/>
      <c r="CN41" s="226"/>
      <c r="CO41" s="226"/>
      <c r="CP41" s="226"/>
      <c r="CQ41" s="226"/>
      <c r="CR41" s="226"/>
      <c r="CS41" s="227"/>
      <c r="CT41" s="233"/>
      <c r="CU41" s="229"/>
      <c r="CV41" s="226"/>
      <c r="CW41" s="226"/>
    </row>
    <row r="42" ht="14.25">
      <c r="A42" s="221"/>
      <c r="B42" s="45" t="s">
        <v>127</v>
      </c>
      <c r="C42" s="46" t="s">
        <v>131</v>
      </c>
      <c r="D42" s="41">
        <v>2.1000000000000001</v>
      </c>
      <c r="E42" s="48" t="s">
        <v>39</v>
      </c>
      <c r="F42" s="63">
        <v>46146</v>
      </c>
      <c r="G42" s="223">
        <v>46147</v>
      </c>
      <c r="H42" s="224"/>
      <c r="I42" s="225"/>
      <c r="J42" s="225"/>
      <c r="K42" s="225"/>
      <c r="L42" s="226"/>
      <c r="M42" s="227"/>
      <c r="N42" s="227"/>
      <c r="O42" s="226"/>
      <c r="P42" s="226"/>
      <c r="Q42" s="226"/>
      <c r="R42" s="226"/>
      <c r="S42" s="226"/>
      <c r="T42" s="227"/>
      <c r="U42" s="227"/>
      <c r="V42" s="226"/>
      <c r="W42" s="226"/>
      <c r="X42" s="226"/>
      <c r="Y42" s="226"/>
      <c r="Z42" s="226"/>
      <c r="AA42" s="227"/>
      <c r="AB42" s="227"/>
      <c r="AC42" s="226"/>
      <c r="AD42" s="226"/>
      <c r="AE42" s="226"/>
      <c r="AF42" s="226"/>
      <c r="AG42" s="226"/>
      <c r="AH42" s="227"/>
      <c r="AI42" s="227"/>
      <c r="AJ42" s="226"/>
      <c r="AK42" s="228"/>
      <c r="AL42" s="229"/>
      <c r="AM42" s="226"/>
      <c r="AN42" s="226"/>
      <c r="AO42" s="227"/>
      <c r="AP42" s="227"/>
      <c r="AQ42" s="226"/>
      <c r="AR42" s="226"/>
      <c r="AS42" s="226"/>
      <c r="AT42" s="226"/>
      <c r="AU42" s="226"/>
      <c r="AV42" s="227"/>
      <c r="AW42" s="227"/>
      <c r="AX42" s="226"/>
      <c r="AY42" s="226"/>
      <c r="AZ42" s="226"/>
      <c r="BA42" s="226"/>
      <c r="BB42" s="226"/>
      <c r="BC42" s="227"/>
      <c r="BD42" s="227"/>
      <c r="BE42" s="226"/>
      <c r="BF42" s="226"/>
      <c r="BG42" s="226"/>
      <c r="BH42" s="226"/>
      <c r="BI42" s="226"/>
      <c r="BJ42" s="227"/>
      <c r="BK42" s="227"/>
      <c r="BL42" s="230"/>
      <c r="BM42" s="226"/>
      <c r="BN42" s="226"/>
      <c r="BO42" s="231"/>
      <c r="BP42" s="232"/>
      <c r="BQ42" s="227"/>
      <c r="BR42" s="227"/>
      <c r="BS42" s="240"/>
      <c r="BT42" s="240"/>
      <c r="BU42" s="226"/>
      <c r="BV42" s="226"/>
      <c r="BW42" s="226"/>
      <c r="BX42" s="227"/>
      <c r="BY42" s="227"/>
      <c r="BZ42" s="226"/>
      <c r="CA42" s="226"/>
      <c r="CB42" s="226"/>
      <c r="CC42" s="226"/>
      <c r="CD42" s="226"/>
      <c r="CE42" s="227"/>
      <c r="CF42" s="227"/>
      <c r="CG42" s="226"/>
      <c r="CH42" s="226"/>
      <c r="CI42" s="226"/>
      <c r="CJ42" s="226"/>
      <c r="CK42" s="226"/>
      <c r="CL42" s="227"/>
      <c r="CM42" s="227"/>
      <c r="CN42" s="226"/>
      <c r="CO42" s="226"/>
      <c r="CP42" s="226"/>
      <c r="CQ42" s="226"/>
      <c r="CR42" s="226"/>
      <c r="CS42" s="227"/>
      <c r="CT42" s="233"/>
      <c r="CU42" s="229"/>
      <c r="CV42" s="226"/>
      <c r="CW42" s="226"/>
    </row>
    <row r="43" ht="14.25">
      <c r="A43" s="221"/>
      <c r="B43" s="45" t="s">
        <v>130</v>
      </c>
      <c r="C43" s="46" t="s">
        <v>456</v>
      </c>
      <c r="D43" s="41" t="s">
        <v>457</v>
      </c>
      <c r="E43" s="48" t="s">
        <v>458</v>
      </c>
      <c r="F43" s="63">
        <v>46150</v>
      </c>
      <c r="G43" s="223">
        <v>46150</v>
      </c>
      <c r="H43" s="224"/>
      <c r="I43" s="225"/>
      <c r="J43" s="225"/>
      <c r="K43" s="225"/>
      <c r="L43" s="226"/>
      <c r="M43" s="227"/>
      <c r="N43" s="227"/>
      <c r="O43" s="226"/>
      <c r="P43" s="226"/>
      <c r="Q43" s="226"/>
      <c r="R43" s="226"/>
      <c r="S43" s="226"/>
      <c r="T43" s="227"/>
      <c r="U43" s="227"/>
      <c r="V43" s="226"/>
      <c r="W43" s="226"/>
      <c r="X43" s="226"/>
      <c r="Y43" s="226"/>
      <c r="Z43" s="226"/>
      <c r="AA43" s="227"/>
      <c r="AB43" s="227"/>
      <c r="AC43" s="226"/>
      <c r="AD43" s="226"/>
      <c r="AE43" s="226"/>
      <c r="AF43" s="226"/>
      <c r="AG43" s="226"/>
      <c r="AH43" s="227"/>
      <c r="AI43" s="227"/>
      <c r="AJ43" s="226"/>
      <c r="AK43" s="228"/>
      <c r="AL43" s="229"/>
      <c r="AM43" s="226"/>
      <c r="AN43" s="226"/>
      <c r="AO43" s="227"/>
      <c r="AP43" s="227"/>
      <c r="AQ43" s="226"/>
      <c r="AR43" s="226"/>
      <c r="AS43" s="226"/>
      <c r="AT43" s="226"/>
      <c r="AU43" s="226"/>
      <c r="AV43" s="227"/>
      <c r="AW43" s="227"/>
      <c r="AX43" s="226"/>
      <c r="AY43" s="226"/>
      <c r="AZ43" s="226"/>
      <c r="BA43" s="226"/>
      <c r="BB43" s="226"/>
      <c r="BC43" s="227"/>
      <c r="BD43" s="227"/>
      <c r="BE43" s="226"/>
      <c r="BF43" s="226"/>
      <c r="BG43" s="226"/>
      <c r="BH43" s="226"/>
      <c r="BI43" s="226"/>
      <c r="BJ43" s="227"/>
      <c r="BK43" s="227"/>
      <c r="BL43" s="230"/>
      <c r="BM43" s="226"/>
      <c r="BN43" s="226"/>
      <c r="BO43" s="231"/>
      <c r="BP43" s="232"/>
      <c r="BQ43" s="227"/>
      <c r="BR43" s="227"/>
      <c r="BS43" s="226"/>
      <c r="BT43" s="226"/>
      <c r="BU43" s="226"/>
      <c r="BV43" s="226"/>
      <c r="BW43" s="240"/>
      <c r="BX43" s="227"/>
      <c r="BY43" s="227"/>
      <c r="BZ43" s="226"/>
      <c r="CA43" s="226"/>
      <c r="CB43" s="226"/>
      <c r="CC43" s="226"/>
      <c r="CD43" s="226"/>
      <c r="CE43" s="227"/>
      <c r="CF43" s="227"/>
      <c r="CG43" s="226"/>
      <c r="CH43" s="226"/>
      <c r="CI43" s="226"/>
      <c r="CJ43" s="226"/>
      <c r="CK43" s="226"/>
      <c r="CL43" s="227"/>
      <c r="CM43" s="227"/>
      <c r="CN43" s="226"/>
      <c r="CO43" s="226"/>
      <c r="CP43" s="226"/>
      <c r="CQ43" s="226"/>
      <c r="CR43" s="226"/>
      <c r="CS43" s="227"/>
      <c r="CT43" s="233"/>
      <c r="CU43" s="229"/>
      <c r="CV43" s="226"/>
      <c r="CW43" s="226"/>
    </row>
    <row r="44" ht="14.25">
      <c r="A44" s="221"/>
      <c r="B44" s="45" t="s">
        <v>459</v>
      </c>
      <c r="C44" s="46" t="s">
        <v>460</v>
      </c>
      <c r="D44" s="41" t="s">
        <v>457</v>
      </c>
      <c r="E44" s="48" t="s">
        <v>458</v>
      </c>
      <c r="F44" s="63">
        <v>46153</v>
      </c>
      <c r="G44" s="223">
        <v>46153</v>
      </c>
      <c r="H44" s="224"/>
      <c r="I44" s="225"/>
      <c r="J44" s="225"/>
      <c r="K44" s="225"/>
      <c r="L44" s="226"/>
      <c r="M44" s="227"/>
      <c r="N44" s="227"/>
      <c r="O44" s="226"/>
      <c r="P44" s="226"/>
      <c r="Q44" s="226"/>
      <c r="R44" s="226"/>
      <c r="S44" s="226"/>
      <c r="T44" s="227"/>
      <c r="U44" s="227"/>
      <c r="V44" s="226"/>
      <c r="W44" s="226"/>
      <c r="X44" s="226"/>
      <c r="Y44" s="226"/>
      <c r="Z44" s="226"/>
      <c r="AA44" s="227"/>
      <c r="AB44" s="227"/>
      <c r="AC44" s="226"/>
      <c r="AD44" s="226"/>
      <c r="AE44" s="226"/>
      <c r="AF44" s="226"/>
      <c r="AG44" s="226"/>
      <c r="AH44" s="227"/>
      <c r="AI44" s="227"/>
      <c r="AJ44" s="226"/>
      <c r="AK44" s="228"/>
      <c r="AL44" s="229"/>
      <c r="AM44" s="226"/>
      <c r="AN44" s="226"/>
      <c r="AO44" s="227"/>
      <c r="AP44" s="227"/>
      <c r="AQ44" s="226"/>
      <c r="AR44" s="226"/>
      <c r="AS44" s="226"/>
      <c r="AT44" s="226"/>
      <c r="AU44" s="226"/>
      <c r="AV44" s="227"/>
      <c r="AW44" s="227"/>
      <c r="AX44" s="226"/>
      <c r="AY44" s="226"/>
      <c r="AZ44" s="226"/>
      <c r="BA44" s="226"/>
      <c r="BB44" s="226"/>
      <c r="BC44" s="227"/>
      <c r="BD44" s="227"/>
      <c r="BE44" s="226"/>
      <c r="BF44" s="226"/>
      <c r="BG44" s="226"/>
      <c r="BH44" s="226"/>
      <c r="BI44" s="226"/>
      <c r="BJ44" s="227"/>
      <c r="BK44" s="227"/>
      <c r="BL44" s="230"/>
      <c r="BM44" s="226"/>
      <c r="BN44" s="226"/>
      <c r="BO44" s="231"/>
      <c r="BP44" s="232"/>
      <c r="BQ44" s="227"/>
      <c r="BR44" s="227"/>
      <c r="BS44" s="226"/>
      <c r="BT44" s="226"/>
      <c r="BU44" s="226"/>
      <c r="BV44" s="226"/>
      <c r="BW44" s="226"/>
      <c r="BX44" s="227"/>
      <c r="BY44" s="227"/>
      <c r="BZ44" s="240"/>
      <c r="CA44" s="226"/>
      <c r="CB44" s="226"/>
      <c r="CC44" s="226"/>
      <c r="CD44" s="226"/>
      <c r="CE44" s="227"/>
      <c r="CF44" s="227"/>
      <c r="CG44" s="226"/>
      <c r="CH44" s="226"/>
      <c r="CI44" s="226"/>
      <c r="CJ44" s="226"/>
      <c r="CK44" s="226"/>
      <c r="CL44" s="227"/>
      <c r="CM44" s="227"/>
      <c r="CN44" s="226"/>
      <c r="CO44" s="226"/>
      <c r="CP44" s="226"/>
      <c r="CQ44" s="226"/>
      <c r="CR44" s="226"/>
      <c r="CS44" s="227"/>
      <c r="CT44" s="233"/>
      <c r="CU44" s="229"/>
      <c r="CV44" s="226"/>
      <c r="CW44" s="226"/>
    </row>
    <row r="45" ht="15">
      <c r="A45" s="221"/>
      <c r="B45" s="38" t="s">
        <v>132</v>
      </c>
      <c r="C45" s="247" t="s">
        <v>133</v>
      </c>
      <c r="D45" s="41" t="s">
        <v>29</v>
      </c>
      <c r="E45" s="243" t="s">
        <v>138</v>
      </c>
      <c r="F45" s="63">
        <v>46113</v>
      </c>
      <c r="G45" s="63">
        <v>46168</v>
      </c>
      <c r="H45" s="248"/>
      <c r="I45" s="225"/>
      <c r="J45" s="225"/>
      <c r="K45" s="225"/>
      <c r="L45" s="226"/>
      <c r="M45" s="227"/>
      <c r="N45" s="227"/>
      <c r="O45" s="226"/>
      <c r="P45" s="226"/>
      <c r="Q45" s="226"/>
      <c r="R45" s="226"/>
      <c r="S45" s="226"/>
      <c r="T45" s="227"/>
      <c r="U45" s="227"/>
      <c r="V45" s="226"/>
      <c r="W45" s="226"/>
      <c r="X45" s="226"/>
      <c r="Y45" s="226"/>
      <c r="Z45" s="226"/>
      <c r="AA45" s="227"/>
      <c r="AB45" s="227"/>
      <c r="AC45" s="226"/>
      <c r="AD45" s="226"/>
      <c r="AE45" s="226"/>
      <c r="AF45" s="226"/>
      <c r="AG45" s="226"/>
      <c r="AH45" s="227"/>
      <c r="AI45" s="227"/>
      <c r="AJ45" s="226"/>
      <c r="AK45" s="228"/>
      <c r="AL45" s="229"/>
      <c r="AM45" s="226"/>
      <c r="AN45" s="226"/>
      <c r="AO45" s="227"/>
      <c r="AP45" s="227"/>
      <c r="AQ45" s="226"/>
      <c r="AR45" s="226"/>
      <c r="AS45" s="226"/>
      <c r="AT45" s="226"/>
      <c r="AU45" s="226"/>
      <c r="AV45" s="227"/>
      <c r="AW45" s="227"/>
      <c r="AX45" s="226"/>
      <c r="AY45" s="226"/>
      <c r="AZ45" s="226"/>
      <c r="BA45" s="226"/>
      <c r="BB45" s="226"/>
      <c r="BC45" s="227"/>
      <c r="BD45" s="227"/>
      <c r="BE45" s="226"/>
      <c r="BF45" s="226"/>
      <c r="BG45" s="226"/>
      <c r="BH45" s="226"/>
      <c r="BI45" s="226"/>
      <c r="BJ45" s="227"/>
      <c r="BK45" s="227"/>
      <c r="BL45" s="230"/>
      <c r="BM45" s="226"/>
      <c r="BN45" s="226"/>
      <c r="BO45" s="231"/>
      <c r="BP45" s="232"/>
      <c r="BQ45" s="227"/>
      <c r="BR45" s="227"/>
      <c r="BS45" s="226"/>
      <c r="BT45" s="226"/>
      <c r="BU45" s="226"/>
      <c r="BV45" s="226"/>
      <c r="BW45" s="226"/>
      <c r="BX45" s="227"/>
      <c r="BY45" s="227"/>
      <c r="BZ45" s="226"/>
      <c r="CA45" s="226"/>
      <c r="CB45" s="226"/>
      <c r="CC45" s="226"/>
      <c r="CD45" s="226"/>
      <c r="CE45" s="227"/>
      <c r="CF45" s="227"/>
      <c r="CG45" s="226"/>
      <c r="CH45" s="226"/>
      <c r="CI45" s="226"/>
      <c r="CJ45" s="226"/>
      <c r="CK45" s="226"/>
      <c r="CL45" s="227"/>
      <c r="CM45" s="227"/>
      <c r="CN45" s="226"/>
      <c r="CO45" s="226"/>
      <c r="CP45" s="226"/>
      <c r="CQ45" s="226"/>
      <c r="CR45" s="226"/>
      <c r="CS45" s="227"/>
      <c r="CT45" s="233"/>
      <c r="CU45" s="229"/>
      <c r="CV45" s="226"/>
      <c r="CW45" s="226"/>
    </row>
    <row r="46" ht="14.25">
      <c r="A46" s="221"/>
      <c r="B46" s="45" t="s">
        <v>136</v>
      </c>
      <c r="C46" s="46" t="s">
        <v>137</v>
      </c>
      <c r="D46" s="41">
        <v>2.1000000000000001</v>
      </c>
      <c r="E46" s="48" t="s">
        <v>52</v>
      </c>
      <c r="F46" s="63">
        <v>46113</v>
      </c>
      <c r="G46" s="223">
        <v>46115</v>
      </c>
      <c r="H46" s="224"/>
      <c r="I46" s="225"/>
      <c r="J46" s="225"/>
      <c r="K46" s="225"/>
      <c r="L46" s="226"/>
      <c r="M46" s="227"/>
      <c r="N46" s="227"/>
      <c r="O46" s="226"/>
      <c r="P46" s="226"/>
      <c r="Q46" s="226"/>
      <c r="R46" s="226"/>
      <c r="S46" s="226"/>
      <c r="T46" s="227"/>
      <c r="U46" s="227"/>
      <c r="V46" s="226"/>
      <c r="W46" s="226"/>
      <c r="X46" s="226"/>
      <c r="Y46" s="226"/>
      <c r="Z46" s="226"/>
      <c r="AA46" s="227"/>
      <c r="AB46" s="227"/>
      <c r="AC46" s="226"/>
      <c r="AD46" s="226"/>
      <c r="AE46" s="226"/>
      <c r="AF46" s="226"/>
      <c r="AG46" s="226"/>
      <c r="AH46" s="227"/>
      <c r="AI46" s="227"/>
      <c r="AJ46" s="226"/>
      <c r="AK46" s="228"/>
      <c r="AL46" s="239"/>
      <c r="AM46" s="237"/>
      <c r="AN46" s="237"/>
      <c r="AO46" s="227"/>
      <c r="AP46" s="227"/>
      <c r="AQ46" s="226"/>
      <c r="AR46" s="226"/>
      <c r="AS46" s="226"/>
      <c r="AT46" s="226"/>
      <c r="AU46" s="226"/>
      <c r="AV46" s="227"/>
      <c r="AW46" s="227"/>
      <c r="AX46" s="226"/>
      <c r="AY46" s="226"/>
      <c r="AZ46" s="226"/>
      <c r="BA46" s="226"/>
      <c r="BB46" s="226"/>
      <c r="BC46" s="227"/>
      <c r="BD46" s="227"/>
      <c r="BE46" s="226"/>
      <c r="BF46" s="226"/>
      <c r="BG46" s="226"/>
      <c r="BH46" s="226"/>
      <c r="BI46" s="226"/>
      <c r="BJ46" s="227"/>
      <c r="BK46" s="227"/>
      <c r="BL46" s="230"/>
      <c r="BM46" s="226"/>
      <c r="BN46" s="226"/>
      <c r="BO46" s="231"/>
      <c r="BP46" s="232"/>
      <c r="BQ46" s="227"/>
      <c r="BR46" s="227"/>
      <c r="BS46" s="226"/>
      <c r="BT46" s="226"/>
      <c r="BU46" s="226"/>
      <c r="BV46" s="226"/>
      <c r="BW46" s="226"/>
      <c r="BX46" s="227"/>
      <c r="BY46" s="227"/>
      <c r="BZ46" s="226"/>
      <c r="CA46" s="226"/>
      <c r="CB46" s="226"/>
      <c r="CC46" s="226"/>
      <c r="CD46" s="226"/>
      <c r="CE46" s="227"/>
      <c r="CF46" s="227"/>
      <c r="CG46" s="226"/>
      <c r="CH46" s="226"/>
      <c r="CI46" s="226"/>
      <c r="CJ46" s="226"/>
      <c r="CK46" s="226"/>
      <c r="CL46" s="227"/>
      <c r="CM46" s="227"/>
      <c r="CN46" s="226"/>
      <c r="CO46" s="226"/>
      <c r="CP46" s="226"/>
      <c r="CQ46" s="226"/>
      <c r="CR46" s="226"/>
      <c r="CS46" s="227"/>
      <c r="CT46" s="233"/>
      <c r="CU46" s="229"/>
      <c r="CV46" s="226"/>
      <c r="CW46" s="226"/>
    </row>
    <row r="47" ht="14.25">
      <c r="A47" s="221"/>
      <c r="B47" s="45" t="s">
        <v>139</v>
      </c>
      <c r="C47" s="246" t="s">
        <v>461</v>
      </c>
      <c r="D47" s="249" t="s">
        <v>462</v>
      </c>
      <c r="E47" s="243" t="s">
        <v>289</v>
      </c>
      <c r="F47" s="63">
        <v>46154</v>
      </c>
      <c r="G47" s="223">
        <v>46157</v>
      </c>
      <c r="H47" s="224"/>
      <c r="I47" s="225"/>
      <c r="J47" s="225"/>
      <c r="K47" s="225"/>
      <c r="L47" s="226"/>
      <c r="M47" s="227"/>
      <c r="N47" s="227"/>
      <c r="O47" s="226"/>
      <c r="P47" s="226"/>
      <c r="Q47" s="226"/>
      <c r="R47" s="226"/>
      <c r="S47" s="226"/>
      <c r="T47" s="227"/>
      <c r="U47" s="227"/>
      <c r="V47" s="226"/>
      <c r="W47" s="226"/>
      <c r="X47" s="226"/>
      <c r="Y47" s="226"/>
      <c r="Z47" s="226"/>
      <c r="AA47" s="227"/>
      <c r="AB47" s="227"/>
      <c r="AC47" s="226"/>
      <c r="AD47" s="226"/>
      <c r="AE47" s="226"/>
      <c r="AF47" s="226"/>
      <c r="AG47" s="226"/>
      <c r="AH47" s="227"/>
      <c r="AI47" s="227"/>
      <c r="AJ47" s="226"/>
      <c r="AK47" s="228"/>
      <c r="AL47" s="229"/>
      <c r="AM47" s="226"/>
      <c r="AN47" s="226"/>
      <c r="AO47" s="227"/>
      <c r="AP47" s="227"/>
      <c r="AQ47" s="226"/>
      <c r="AR47" s="226"/>
      <c r="AS47" s="226"/>
      <c r="AT47" s="226"/>
      <c r="AU47" s="226"/>
      <c r="AV47" s="227"/>
      <c r="AW47" s="227"/>
      <c r="AX47" s="226"/>
      <c r="AY47" s="226"/>
      <c r="AZ47" s="226"/>
      <c r="BA47" s="226"/>
      <c r="BB47" s="226"/>
      <c r="BC47" s="227"/>
      <c r="BD47" s="227"/>
      <c r="BE47" s="226"/>
      <c r="BF47" s="226"/>
      <c r="BG47" s="226"/>
      <c r="BH47" s="226"/>
      <c r="BI47" s="226"/>
      <c r="BJ47" s="227"/>
      <c r="BK47" s="227"/>
      <c r="BL47" s="230"/>
      <c r="BM47" s="226"/>
      <c r="BN47" s="226"/>
      <c r="BO47" s="231"/>
      <c r="BP47" s="232"/>
      <c r="BQ47" s="227"/>
      <c r="BR47" s="227"/>
      <c r="BS47" s="226"/>
      <c r="BT47" s="226"/>
      <c r="BU47" s="226"/>
      <c r="BV47" s="226"/>
      <c r="BW47" s="226"/>
      <c r="BX47" s="227"/>
      <c r="BY47" s="227"/>
      <c r="BZ47" s="226"/>
      <c r="CA47" s="240"/>
      <c r="CB47" s="240"/>
      <c r="CC47" s="240"/>
      <c r="CD47" s="240"/>
      <c r="CE47" s="227"/>
      <c r="CF47" s="227"/>
      <c r="CG47" s="226"/>
      <c r="CH47" s="226"/>
      <c r="CI47" s="226"/>
      <c r="CJ47" s="226"/>
      <c r="CK47" s="226"/>
      <c r="CL47" s="227"/>
      <c r="CM47" s="227"/>
      <c r="CN47" s="226"/>
      <c r="CO47" s="226"/>
      <c r="CP47" s="226"/>
      <c r="CQ47" s="226"/>
      <c r="CR47" s="226"/>
      <c r="CS47" s="227"/>
      <c r="CT47" s="233"/>
      <c r="CU47" s="229"/>
      <c r="CV47" s="226"/>
      <c r="CW47" s="226"/>
    </row>
    <row r="48" ht="14.25">
      <c r="A48" s="221"/>
      <c r="B48" s="45" t="s">
        <v>143</v>
      </c>
      <c r="C48" s="46" t="s">
        <v>463</v>
      </c>
      <c r="D48" s="249" t="s">
        <v>462</v>
      </c>
      <c r="E48" s="48" t="s">
        <v>39</v>
      </c>
      <c r="F48" s="63">
        <v>46160</v>
      </c>
      <c r="G48" s="223">
        <v>46161</v>
      </c>
      <c r="H48" s="224"/>
      <c r="I48" s="225"/>
      <c r="J48" s="225"/>
      <c r="K48" s="225"/>
      <c r="L48" s="226"/>
      <c r="M48" s="227"/>
      <c r="N48" s="227"/>
      <c r="O48" s="226"/>
      <c r="P48" s="226"/>
      <c r="Q48" s="226"/>
      <c r="R48" s="226"/>
      <c r="S48" s="226"/>
      <c r="T48" s="227"/>
      <c r="U48" s="227"/>
      <c r="V48" s="226"/>
      <c r="W48" s="226"/>
      <c r="X48" s="226"/>
      <c r="Y48" s="226"/>
      <c r="Z48" s="226"/>
      <c r="AA48" s="227"/>
      <c r="AB48" s="227"/>
      <c r="AC48" s="226"/>
      <c r="AD48" s="226"/>
      <c r="AE48" s="226"/>
      <c r="AF48" s="226"/>
      <c r="AG48" s="226"/>
      <c r="AH48" s="227"/>
      <c r="AI48" s="227"/>
      <c r="AJ48" s="226"/>
      <c r="AK48" s="228"/>
      <c r="AL48" s="229"/>
      <c r="AM48" s="226"/>
      <c r="AN48" s="226"/>
      <c r="AO48" s="227"/>
      <c r="AP48" s="227"/>
      <c r="AQ48" s="226"/>
      <c r="AR48" s="226"/>
      <c r="AS48" s="226"/>
      <c r="AT48" s="226"/>
      <c r="AU48" s="226"/>
      <c r="AV48" s="227"/>
      <c r="AW48" s="227"/>
      <c r="AX48" s="226"/>
      <c r="AY48" s="226"/>
      <c r="AZ48" s="226"/>
      <c r="BA48" s="226"/>
      <c r="BB48" s="226"/>
      <c r="BC48" s="227"/>
      <c r="BD48" s="227"/>
      <c r="BE48" s="226"/>
      <c r="BF48" s="226"/>
      <c r="BG48" s="226"/>
      <c r="BH48" s="226"/>
      <c r="BI48" s="226"/>
      <c r="BJ48" s="227"/>
      <c r="BK48" s="227"/>
      <c r="BL48" s="230"/>
      <c r="BM48" s="226"/>
      <c r="BN48" s="226"/>
      <c r="BO48" s="231"/>
      <c r="BP48" s="232"/>
      <c r="BQ48" s="227"/>
      <c r="BR48" s="227"/>
      <c r="BS48" s="226"/>
      <c r="BT48" s="226"/>
      <c r="BU48" s="226"/>
      <c r="BV48" s="226"/>
      <c r="BW48" s="226"/>
      <c r="BX48" s="227"/>
      <c r="BY48" s="227"/>
      <c r="BZ48" s="226"/>
      <c r="CA48" s="226"/>
      <c r="CB48" s="226"/>
      <c r="CC48" s="226"/>
      <c r="CD48" s="226"/>
      <c r="CE48" s="227"/>
      <c r="CF48" s="227"/>
      <c r="CG48" s="240"/>
      <c r="CH48" s="240"/>
      <c r="CI48" s="226"/>
      <c r="CJ48" s="226"/>
      <c r="CK48" s="226"/>
      <c r="CL48" s="227"/>
      <c r="CM48" s="227"/>
      <c r="CN48" s="226"/>
      <c r="CO48" s="226"/>
      <c r="CP48" s="226"/>
      <c r="CQ48" s="226"/>
      <c r="CR48" s="226"/>
      <c r="CS48" s="227"/>
      <c r="CT48" s="233"/>
      <c r="CU48" s="229"/>
      <c r="CV48" s="226"/>
      <c r="CW48" s="226"/>
    </row>
    <row r="49" ht="14.25">
      <c r="A49" s="221"/>
      <c r="B49" s="45" t="s">
        <v>146</v>
      </c>
      <c r="C49" s="46" t="s">
        <v>464</v>
      </c>
      <c r="D49" s="249" t="s">
        <v>462</v>
      </c>
      <c r="E49" s="44" t="s">
        <v>39</v>
      </c>
      <c r="F49" s="63">
        <v>46162</v>
      </c>
      <c r="G49" s="223">
        <v>46163</v>
      </c>
      <c r="H49" s="224"/>
      <c r="I49" s="225"/>
      <c r="J49" s="225"/>
      <c r="K49" s="225"/>
      <c r="L49" s="226"/>
      <c r="M49" s="227"/>
      <c r="N49" s="227"/>
      <c r="O49" s="226"/>
      <c r="P49" s="226"/>
      <c r="Q49" s="226"/>
      <c r="R49" s="226"/>
      <c r="S49" s="226"/>
      <c r="T49" s="227"/>
      <c r="U49" s="227"/>
      <c r="V49" s="226"/>
      <c r="W49" s="226"/>
      <c r="X49" s="226"/>
      <c r="Y49" s="226"/>
      <c r="Z49" s="226"/>
      <c r="AA49" s="227"/>
      <c r="AB49" s="227"/>
      <c r="AC49" s="226"/>
      <c r="AD49" s="226"/>
      <c r="AE49" s="226"/>
      <c r="AF49" s="226"/>
      <c r="AG49" s="226"/>
      <c r="AH49" s="227"/>
      <c r="AI49" s="227"/>
      <c r="AJ49" s="226"/>
      <c r="AK49" s="228"/>
      <c r="AL49" s="229"/>
      <c r="AM49" s="226"/>
      <c r="AN49" s="226"/>
      <c r="AO49" s="227"/>
      <c r="AP49" s="227"/>
      <c r="AQ49" s="226"/>
      <c r="AR49" s="226"/>
      <c r="AS49" s="226"/>
      <c r="AT49" s="226"/>
      <c r="AU49" s="226"/>
      <c r="AV49" s="227"/>
      <c r="AW49" s="227"/>
      <c r="AX49" s="226"/>
      <c r="AY49" s="226"/>
      <c r="AZ49" s="226"/>
      <c r="BA49" s="226"/>
      <c r="BB49" s="226"/>
      <c r="BC49" s="227"/>
      <c r="BD49" s="227"/>
      <c r="BE49" s="226"/>
      <c r="BF49" s="226"/>
      <c r="BG49" s="226"/>
      <c r="BH49" s="226"/>
      <c r="BI49" s="226"/>
      <c r="BJ49" s="227"/>
      <c r="BK49" s="227"/>
      <c r="BL49" s="230"/>
      <c r="BM49" s="226"/>
      <c r="BN49" s="226"/>
      <c r="BO49" s="231"/>
      <c r="BP49" s="232"/>
      <c r="BQ49" s="227"/>
      <c r="BR49" s="227"/>
      <c r="BS49" s="226"/>
      <c r="BT49" s="226"/>
      <c r="BU49" s="226"/>
      <c r="BV49" s="226"/>
      <c r="BW49" s="226"/>
      <c r="BX49" s="227"/>
      <c r="BY49" s="227"/>
      <c r="BZ49" s="226"/>
      <c r="CA49" s="226"/>
      <c r="CB49" s="226"/>
      <c r="CC49" s="226"/>
      <c r="CD49" s="226"/>
      <c r="CE49" s="227"/>
      <c r="CF49" s="227"/>
      <c r="CG49" s="226"/>
      <c r="CH49" s="226"/>
      <c r="CI49" s="240"/>
      <c r="CJ49" s="240"/>
      <c r="CK49" s="226"/>
      <c r="CL49" s="227"/>
      <c r="CM49" s="227"/>
      <c r="CN49" s="226"/>
      <c r="CO49" s="226"/>
      <c r="CP49" s="226"/>
      <c r="CQ49" s="226"/>
      <c r="CR49" s="226"/>
      <c r="CS49" s="227"/>
      <c r="CT49" s="233"/>
      <c r="CU49" s="229"/>
      <c r="CV49" s="226"/>
      <c r="CW49" s="226"/>
    </row>
    <row r="50" ht="14.25">
      <c r="A50" s="221"/>
      <c r="B50" s="45" t="s">
        <v>149</v>
      </c>
      <c r="C50" s="46" t="s">
        <v>465</v>
      </c>
      <c r="D50" s="249" t="s">
        <v>466</v>
      </c>
      <c r="E50" s="48" t="s">
        <v>52</v>
      </c>
      <c r="F50" s="63">
        <v>46164</v>
      </c>
      <c r="G50" s="223">
        <v>46168</v>
      </c>
      <c r="H50" s="224"/>
      <c r="I50" s="225"/>
      <c r="J50" s="225"/>
      <c r="K50" s="225"/>
      <c r="L50" s="226"/>
      <c r="M50" s="227"/>
      <c r="N50" s="227"/>
      <c r="O50" s="226"/>
      <c r="P50" s="226"/>
      <c r="Q50" s="226"/>
      <c r="R50" s="226"/>
      <c r="S50" s="226"/>
      <c r="T50" s="227"/>
      <c r="U50" s="227"/>
      <c r="V50" s="226"/>
      <c r="W50" s="226"/>
      <c r="X50" s="226"/>
      <c r="Y50" s="226"/>
      <c r="Z50" s="226"/>
      <c r="AA50" s="227"/>
      <c r="AB50" s="227"/>
      <c r="AC50" s="226"/>
      <c r="AD50" s="226"/>
      <c r="AE50" s="226"/>
      <c r="AF50" s="226"/>
      <c r="AG50" s="226"/>
      <c r="AH50" s="227"/>
      <c r="AI50" s="227"/>
      <c r="AJ50" s="226"/>
      <c r="AK50" s="228"/>
      <c r="AL50" s="229"/>
      <c r="AM50" s="226"/>
      <c r="AN50" s="226"/>
      <c r="AO50" s="227"/>
      <c r="AP50" s="227"/>
      <c r="AQ50" s="226"/>
      <c r="AR50" s="226"/>
      <c r="AS50" s="226"/>
      <c r="AT50" s="226"/>
      <c r="AU50" s="226"/>
      <c r="AV50" s="227"/>
      <c r="AW50" s="227"/>
      <c r="AX50" s="226"/>
      <c r="AY50" s="226"/>
      <c r="AZ50" s="226"/>
      <c r="BA50" s="226"/>
      <c r="BB50" s="226"/>
      <c r="BC50" s="227"/>
      <c r="BD50" s="227"/>
      <c r="BE50" s="226"/>
      <c r="BF50" s="226"/>
      <c r="BG50" s="226"/>
      <c r="BH50" s="226"/>
      <c r="BI50" s="226"/>
      <c r="BJ50" s="227"/>
      <c r="BK50" s="227"/>
      <c r="BL50" s="230"/>
      <c r="BM50" s="226"/>
      <c r="BN50" s="226"/>
      <c r="BO50" s="231"/>
      <c r="BP50" s="232"/>
      <c r="BQ50" s="227"/>
      <c r="BR50" s="227"/>
      <c r="BS50" s="226"/>
      <c r="BT50" s="226"/>
      <c r="BU50" s="226"/>
      <c r="BV50" s="226"/>
      <c r="BW50" s="226"/>
      <c r="BX50" s="227"/>
      <c r="BY50" s="227"/>
      <c r="BZ50" s="226"/>
      <c r="CA50" s="226"/>
      <c r="CB50" s="226"/>
      <c r="CC50" s="226"/>
      <c r="CD50" s="226"/>
      <c r="CE50" s="227"/>
      <c r="CF50" s="227"/>
      <c r="CG50" s="226"/>
      <c r="CH50" s="226"/>
      <c r="CI50" s="226"/>
      <c r="CJ50" s="226"/>
      <c r="CK50" s="240"/>
      <c r="CL50" s="227"/>
      <c r="CM50" s="227"/>
      <c r="CN50" s="240"/>
      <c r="CO50" s="240"/>
      <c r="CP50" s="226"/>
      <c r="CQ50" s="226"/>
      <c r="CR50" s="226"/>
      <c r="CS50" s="227"/>
      <c r="CT50" s="233"/>
      <c r="CU50" s="229"/>
      <c r="CV50" s="226"/>
      <c r="CW50" s="226"/>
    </row>
    <row r="51" ht="15">
      <c r="A51" s="221"/>
      <c r="B51" s="38" t="s">
        <v>154</v>
      </c>
      <c r="C51" s="39" t="s">
        <v>155</v>
      </c>
      <c r="D51" s="41" t="s">
        <v>29</v>
      </c>
      <c r="E51" s="48" t="s">
        <v>467</v>
      </c>
      <c r="F51" s="63">
        <v>46374</v>
      </c>
      <c r="G51" s="223">
        <v>46382</v>
      </c>
      <c r="H51" s="224"/>
      <c r="I51" s="225"/>
      <c r="J51" s="225"/>
      <c r="K51" s="225"/>
      <c r="L51" s="226"/>
      <c r="M51" s="227"/>
      <c r="N51" s="227"/>
      <c r="O51" s="226"/>
      <c r="P51" s="226"/>
      <c r="Q51" s="226"/>
      <c r="R51" s="226"/>
      <c r="S51" s="226"/>
      <c r="T51" s="227"/>
      <c r="U51" s="227"/>
      <c r="V51" s="226"/>
      <c r="W51" s="226"/>
      <c r="X51" s="226"/>
      <c r="Y51" s="226"/>
      <c r="Z51" s="226"/>
      <c r="AA51" s="227"/>
      <c r="AB51" s="227"/>
      <c r="AC51" s="226"/>
      <c r="AD51" s="226"/>
      <c r="AE51" s="226"/>
      <c r="AF51" s="226"/>
      <c r="AG51" s="226"/>
      <c r="AH51" s="227"/>
      <c r="AI51" s="227"/>
      <c r="AJ51" s="226"/>
      <c r="AK51" s="228"/>
      <c r="AL51" s="229"/>
      <c r="AM51" s="226"/>
      <c r="AN51" s="226"/>
      <c r="AO51" s="227"/>
      <c r="AP51" s="227"/>
      <c r="AQ51" s="226"/>
      <c r="AR51" s="226"/>
      <c r="AS51" s="226"/>
      <c r="AT51" s="226"/>
      <c r="AU51" s="226"/>
      <c r="AV51" s="227"/>
      <c r="AW51" s="227"/>
      <c r="AX51" s="226"/>
      <c r="AY51" s="226"/>
      <c r="AZ51" s="226"/>
      <c r="BA51" s="226"/>
      <c r="BB51" s="226"/>
      <c r="BC51" s="227"/>
      <c r="BD51" s="227"/>
      <c r="BE51" s="226"/>
      <c r="BF51" s="226"/>
      <c r="BG51" s="226"/>
      <c r="BH51" s="226"/>
      <c r="BI51" s="226"/>
      <c r="BJ51" s="227"/>
      <c r="BK51" s="227"/>
      <c r="BL51" s="230"/>
      <c r="BM51" s="226"/>
      <c r="BN51" s="226"/>
      <c r="BO51" s="231"/>
      <c r="BP51" s="232"/>
      <c r="BQ51" s="227"/>
      <c r="BR51" s="227"/>
      <c r="BS51" s="226"/>
      <c r="BT51" s="226"/>
      <c r="BU51" s="226"/>
      <c r="BV51" s="226"/>
      <c r="BW51" s="226"/>
      <c r="BX51" s="227"/>
      <c r="BY51" s="227"/>
      <c r="BZ51" s="226"/>
      <c r="CA51" s="226"/>
      <c r="CB51" s="226"/>
      <c r="CC51" s="226"/>
      <c r="CD51" s="226"/>
      <c r="CE51" s="227"/>
      <c r="CF51" s="227"/>
      <c r="CG51" s="226"/>
      <c r="CH51" s="226"/>
      <c r="CI51" s="226"/>
      <c r="CJ51" s="226"/>
      <c r="CK51" s="226"/>
      <c r="CL51" s="227"/>
      <c r="CM51" s="227"/>
      <c r="CN51" s="226"/>
      <c r="CO51" s="226"/>
      <c r="CP51" s="226"/>
      <c r="CQ51" s="226"/>
      <c r="CR51" s="226"/>
      <c r="CS51" s="227"/>
      <c r="CT51" s="233"/>
      <c r="CU51" s="229"/>
      <c r="CV51" s="226"/>
      <c r="CW51" s="226"/>
    </row>
    <row r="52" ht="14.25">
      <c r="A52" s="221"/>
      <c r="B52" s="45" t="s">
        <v>156</v>
      </c>
      <c r="C52" s="46" t="s">
        <v>157</v>
      </c>
      <c r="D52" s="41" t="s">
        <v>457</v>
      </c>
      <c r="E52" s="48" t="s">
        <v>158</v>
      </c>
      <c r="F52" s="63">
        <v>46169</v>
      </c>
      <c r="G52" s="223">
        <v>46169</v>
      </c>
      <c r="H52" s="224"/>
      <c r="I52" s="225"/>
      <c r="J52" s="225"/>
      <c r="K52" s="225"/>
      <c r="L52" s="226"/>
      <c r="M52" s="227"/>
      <c r="N52" s="227"/>
      <c r="O52" s="226"/>
      <c r="P52" s="226"/>
      <c r="Q52" s="226"/>
      <c r="R52" s="226"/>
      <c r="S52" s="226"/>
      <c r="T52" s="227"/>
      <c r="U52" s="227"/>
      <c r="V52" s="226"/>
      <c r="W52" s="226"/>
      <c r="X52" s="226"/>
      <c r="Y52" s="226"/>
      <c r="Z52" s="226"/>
      <c r="AA52" s="227"/>
      <c r="AB52" s="227"/>
      <c r="AC52" s="226"/>
      <c r="AD52" s="226"/>
      <c r="AE52" s="226"/>
      <c r="AF52" s="226"/>
      <c r="AG52" s="226"/>
      <c r="AH52" s="227"/>
      <c r="AI52" s="227"/>
      <c r="AJ52" s="226"/>
      <c r="AK52" s="228"/>
      <c r="AL52" s="229"/>
      <c r="AM52" s="226"/>
      <c r="AN52" s="226"/>
      <c r="AO52" s="227"/>
      <c r="AP52" s="227"/>
      <c r="AQ52" s="226"/>
      <c r="AR52" s="226"/>
      <c r="AS52" s="226"/>
      <c r="AT52" s="226"/>
      <c r="AU52" s="226"/>
      <c r="AV52" s="227"/>
      <c r="AW52" s="227"/>
      <c r="AX52" s="226"/>
      <c r="AY52" s="226"/>
      <c r="AZ52" s="226"/>
      <c r="BA52" s="226"/>
      <c r="BB52" s="226"/>
      <c r="BC52" s="227"/>
      <c r="BD52" s="227"/>
      <c r="BE52" s="226"/>
      <c r="BF52" s="226"/>
      <c r="BG52" s="226"/>
      <c r="BH52" s="226"/>
      <c r="BI52" s="226"/>
      <c r="BJ52" s="227"/>
      <c r="BK52" s="227"/>
      <c r="BL52" s="230"/>
      <c r="BM52" s="226"/>
      <c r="BN52" s="226"/>
      <c r="BO52" s="231"/>
      <c r="BP52" s="232"/>
      <c r="BQ52" s="227"/>
      <c r="BR52" s="227"/>
      <c r="BS52" s="226"/>
      <c r="BT52" s="226"/>
      <c r="BU52" s="226"/>
      <c r="BV52" s="226"/>
      <c r="BW52" s="226"/>
      <c r="BX52" s="227"/>
      <c r="BY52" s="227"/>
      <c r="BZ52" s="226"/>
      <c r="CA52" s="226"/>
      <c r="CB52" s="226"/>
      <c r="CC52" s="226"/>
      <c r="CD52" s="226"/>
      <c r="CE52" s="227"/>
      <c r="CF52" s="227"/>
      <c r="CG52" s="226"/>
      <c r="CH52" s="226"/>
      <c r="CI52" s="226"/>
      <c r="CJ52" s="226"/>
      <c r="CK52" s="226"/>
      <c r="CL52" s="227"/>
      <c r="CM52" s="227"/>
      <c r="CN52" s="226"/>
      <c r="CO52" s="226"/>
      <c r="CP52" s="240"/>
      <c r="CQ52" s="226"/>
      <c r="CR52" s="226"/>
      <c r="CS52" s="227"/>
      <c r="CT52" s="233"/>
      <c r="CU52" s="229"/>
      <c r="CV52" s="226"/>
      <c r="CW52" s="226"/>
    </row>
    <row r="53" ht="14.25">
      <c r="A53" s="221"/>
      <c r="B53" s="45" t="s">
        <v>159</v>
      </c>
      <c r="C53" s="46" t="s">
        <v>160</v>
      </c>
      <c r="D53" s="41" t="s">
        <v>457</v>
      </c>
      <c r="E53" s="48" t="s">
        <v>158</v>
      </c>
      <c r="F53" s="63">
        <v>46170</v>
      </c>
      <c r="G53" s="223">
        <v>46170</v>
      </c>
      <c r="H53" s="224"/>
      <c r="I53" s="225"/>
      <c r="J53" s="225"/>
      <c r="K53" s="225"/>
      <c r="L53" s="226"/>
      <c r="M53" s="227"/>
      <c r="N53" s="227"/>
      <c r="O53" s="226"/>
      <c r="P53" s="226"/>
      <c r="Q53" s="226"/>
      <c r="R53" s="226"/>
      <c r="S53" s="226"/>
      <c r="T53" s="227"/>
      <c r="U53" s="227"/>
      <c r="V53" s="226"/>
      <c r="W53" s="226"/>
      <c r="X53" s="226"/>
      <c r="Y53" s="226"/>
      <c r="Z53" s="226"/>
      <c r="AA53" s="227"/>
      <c r="AB53" s="227"/>
      <c r="AC53" s="226"/>
      <c r="AD53" s="226"/>
      <c r="AE53" s="226"/>
      <c r="AF53" s="226"/>
      <c r="AG53" s="226"/>
      <c r="AH53" s="227"/>
      <c r="AI53" s="227"/>
      <c r="AJ53" s="226"/>
      <c r="AK53" s="228"/>
      <c r="AL53" s="229"/>
      <c r="AM53" s="226"/>
      <c r="AN53" s="226"/>
      <c r="AO53" s="227"/>
      <c r="AP53" s="227"/>
      <c r="AQ53" s="226"/>
      <c r="AR53" s="226"/>
      <c r="AS53" s="226"/>
      <c r="AT53" s="226"/>
      <c r="AU53" s="226"/>
      <c r="AV53" s="227"/>
      <c r="AW53" s="227"/>
      <c r="AX53" s="226"/>
      <c r="AY53" s="226"/>
      <c r="AZ53" s="226"/>
      <c r="BA53" s="226"/>
      <c r="BB53" s="226"/>
      <c r="BC53" s="227"/>
      <c r="BD53" s="227"/>
      <c r="BE53" s="226"/>
      <c r="BF53" s="226"/>
      <c r="BG53" s="226"/>
      <c r="BH53" s="226"/>
      <c r="BI53" s="226"/>
      <c r="BJ53" s="227"/>
      <c r="BK53" s="227"/>
      <c r="BL53" s="230"/>
      <c r="BM53" s="226"/>
      <c r="BN53" s="226"/>
      <c r="BO53" s="231"/>
      <c r="BP53" s="232"/>
      <c r="BQ53" s="227"/>
      <c r="BR53" s="227"/>
      <c r="BS53" s="226"/>
      <c r="BT53" s="226"/>
      <c r="BU53" s="226"/>
      <c r="BV53" s="226"/>
      <c r="BW53" s="226"/>
      <c r="BX53" s="227"/>
      <c r="BY53" s="227"/>
      <c r="BZ53" s="226"/>
      <c r="CA53" s="226"/>
      <c r="CB53" s="226"/>
      <c r="CC53" s="226"/>
      <c r="CD53" s="226"/>
      <c r="CE53" s="227"/>
      <c r="CF53" s="227"/>
      <c r="CG53" s="226"/>
      <c r="CH53" s="226"/>
      <c r="CI53" s="226"/>
      <c r="CJ53" s="226"/>
      <c r="CK53" s="226"/>
      <c r="CL53" s="227"/>
      <c r="CM53" s="227"/>
      <c r="CN53" s="226"/>
      <c r="CO53" s="226"/>
      <c r="CP53" s="226"/>
      <c r="CQ53" s="240"/>
      <c r="CR53" s="226"/>
      <c r="CS53" s="227"/>
      <c r="CT53" s="233"/>
      <c r="CU53" s="229"/>
      <c r="CV53" s="226"/>
      <c r="CW53" s="226"/>
    </row>
    <row r="54" ht="14.25">
      <c r="A54" s="221"/>
      <c r="B54" s="45" t="s">
        <v>161</v>
      </c>
      <c r="C54" s="46" t="s">
        <v>162</v>
      </c>
      <c r="D54" s="41" t="s">
        <v>457</v>
      </c>
      <c r="E54" s="48" t="s">
        <v>164</v>
      </c>
      <c r="F54" s="63">
        <v>46171</v>
      </c>
      <c r="G54" s="223">
        <v>46174</v>
      </c>
      <c r="H54" s="224"/>
      <c r="I54" s="225"/>
      <c r="J54" s="225"/>
      <c r="K54" s="225"/>
      <c r="L54" s="226"/>
      <c r="M54" s="227"/>
      <c r="N54" s="227"/>
      <c r="O54" s="226"/>
      <c r="P54" s="226"/>
      <c r="Q54" s="226"/>
      <c r="R54" s="226"/>
      <c r="S54" s="226"/>
      <c r="T54" s="227"/>
      <c r="U54" s="227"/>
      <c r="V54" s="226"/>
      <c r="W54" s="226"/>
      <c r="X54" s="226"/>
      <c r="Y54" s="226"/>
      <c r="Z54" s="226"/>
      <c r="AA54" s="227"/>
      <c r="AB54" s="227"/>
      <c r="AC54" s="226"/>
      <c r="AD54" s="226"/>
      <c r="AE54" s="226"/>
      <c r="AF54" s="226"/>
      <c r="AG54" s="226"/>
      <c r="AH54" s="227"/>
      <c r="AI54" s="227"/>
      <c r="AJ54" s="226"/>
      <c r="AK54" s="228"/>
      <c r="AL54" s="229"/>
      <c r="AM54" s="226"/>
      <c r="AN54" s="226"/>
      <c r="AO54" s="227"/>
      <c r="AP54" s="227"/>
      <c r="AQ54" s="226"/>
      <c r="AR54" s="226"/>
      <c r="AS54" s="226"/>
      <c r="AT54" s="226"/>
      <c r="AU54" s="226"/>
      <c r="AV54" s="227"/>
      <c r="AW54" s="227"/>
      <c r="AX54" s="226"/>
      <c r="AY54" s="226"/>
      <c r="AZ54" s="226"/>
      <c r="BA54" s="226"/>
      <c r="BB54" s="226"/>
      <c r="BC54" s="227"/>
      <c r="BD54" s="227"/>
      <c r="BE54" s="226"/>
      <c r="BF54" s="226"/>
      <c r="BG54" s="226"/>
      <c r="BH54" s="226"/>
      <c r="BI54" s="226"/>
      <c r="BJ54" s="227"/>
      <c r="BK54" s="227"/>
      <c r="BL54" s="230"/>
      <c r="BM54" s="226"/>
      <c r="BN54" s="226"/>
      <c r="BO54" s="231"/>
      <c r="BP54" s="232"/>
      <c r="BQ54" s="227"/>
      <c r="BR54" s="227"/>
      <c r="BS54" s="226"/>
      <c r="BT54" s="226"/>
      <c r="BU54" s="226"/>
      <c r="BV54" s="226"/>
      <c r="BW54" s="226"/>
      <c r="BX54" s="227"/>
      <c r="BY54" s="227"/>
      <c r="BZ54" s="226"/>
      <c r="CA54" s="226"/>
      <c r="CB54" s="226"/>
      <c r="CC54" s="226"/>
      <c r="CD54" s="226"/>
      <c r="CE54" s="227"/>
      <c r="CF54" s="227"/>
      <c r="CG54" s="226"/>
      <c r="CH54" s="226"/>
      <c r="CI54" s="226"/>
      <c r="CJ54" s="226"/>
      <c r="CK54" s="226"/>
      <c r="CL54" s="227"/>
      <c r="CM54" s="227"/>
      <c r="CN54" s="226"/>
      <c r="CO54" s="226"/>
      <c r="CP54" s="226"/>
      <c r="CQ54" s="226"/>
      <c r="CR54" s="240"/>
      <c r="CS54" s="227"/>
      <c r="CT54" s="233"/>
      <c r="CU54" s="241"/>
      <c r="CV54" s="226"/>
      <c r="CW54" s="226"/>
    </row>
    <row r="55" ht="14.25">
      <c r="A55" s="221"/>
      <c r="B55" s="45" t="s">
        <v>165</v>
      </c>
      <c r="C55" s="46" t="s">
        <v>166</v>
      </c>
      <c r="D55" s="41" t="s">
        <v>167</v>
      </c>
      <c r="E55" s="48" t="s">
        <v>164</v>
      </c>
      <c r="F55" s="63">
        <v>46175</v>
      </c>
      <c r="G55" s="223">
        <v>46176</v>
      </c>
      <c r="H55" s="224"/>
      <c r="I55" s="225"/>
      <c r="J55" s="225"/>
      <c r="K55" s="225"/>
      <c r="L55" s="226"/>
      <c r="M55" s="227"/>
      <c r="N55" s="227"/>
      <c r="O55" s="226"/>
      <c r="P55" s="226"/>
      <c r="Q55" s="226"/>
      <c r="R55" s="226"/>
      <c r="S55" s="226"/>
      <c r="T55" s="227"/>
      <c r="U55" s="227"/>
      <c r="V55" s="226"/>
      <c r="W55" s="226"/>
      <c r="X55" s="226"/>
      <c r="Y55" s="226"/>
      <c r="Z55" s="226"/>
      <c r="AA55" s="227"/>
      <c r="AB55" s="227"/>
      <c r="AC55" s="226"/>
      <c r="AD55" s="226"/>
      <c r="AE55" s="226"/>
      <c r="AF55" s="226"/>
      <c r="AG55" s="226"/>
      <c r="AH55" s="227"/>
      <c r="AI55" s="227"/>
      <c r="AJ55" s="226"/>
      <c r="AK55" s="228"/>
      <c r="AL55" s="229"/>
      <c r="AM55" s="226"/>
      <c r="AN55" s="226"/>
      <c r="AO55" s="227"/>
      <c r="AP55" s="227"/>
      <c r="AQ55" s="226"/>
      <c r="AR55" s="226"/>
      <c r="AS55" s="226"/>
      <c r="AT55" s="226"/>
      <c r="AU55" s="226"/>
      <c r="AV55" s="227"/>
      <c r="AW55" s="227"/>
      <c r="AX55" s="226"/>
      <c r="AY55" s="226"/>
      <c r="AZ55" s="226"/>
      <c r="BA55" s="226"/>
      <c r="BB55" s="226"/>
      <c r="BC55" s="227"/>
      <c r="BD55" s="227"/>
      <c r="BE55" s="226"/>
      <c r="BF55" s="226"/>
      <c r="BG55" s="226"/>
      <c r="BH55" s="226"/>
      <c r="BI55" s="226"/>
      <c r="BJ55" s="227"/>
      <c r="BK55" s="227"/>
      <c r="BL55" s="230"/>
      <c r="BM55" s="226"/>
      <c r="BN55" s="226"/>
      <c r="BO55" s="231"/>
      <c r="BP55" s="232"/>
      <c r="BQ55" s="227"/>
      <c r="BR55" s="227"/>
      <c r="BS55" s="226"/>
      <c r="BT55" s="226"/>
      <c r="BU55" s="226"/>
      <c r="BV55" s="226"/>
      <c r="BW55" s="226"/>
      <c r="BX55" s="227"/>
      <c r="BY55" s="227"/>
      <c r="BZ55" s="226"/>
      <c r="CA55" s="226"/>
      <c r="CB55" s="226"/>
      <c r="CC55" s="226"/>
      <c r="CD55" s="226"/>
      <c r="CE55" s="227"/>
      <c r="CF55" s="227"/>
      <c r="CG55" s="226"/>
      <c r="CH55" s="226"/>
      <c r="CI55" s="226"/>
      <c r="CJ55" s="226"/>
      <c r="CK55" s="226"/>
      <c r="CL55" s="227"/>
      <c r="CM55" s="227"/>
      <c r="CN55" s="226"/>
      <c r="CO55" s="226"/>
      <c r="CP55" s="226"/>
      <c r="CQ55" s="226"/>
      <c r="CR55" s="226"/>
      <c r="CS55" s="227"/>
      <c r="CT55" s="233"/>
      <c r="CU55" s="229"/>
      <c r="CV55" s="240"/>
      <c r="CW55" s="240"/>
    </row>
    <row r="56" ht="14.25">
      <c r="A56" s="250"/>
      <c r="B56" s="250"/>
      <c r="C56" s="250"/>
      <c r="D56" s="250"/>
      <c r="E56" s="250"/>
      <c r="F56" s="250"/>
      <c r="G56" s="250"/>
      <c r="H56" s="250"/>
      <c r="I56" s="250"/>
      <c r="J56" s="250"/>
      <c r="K56" s="250"/>
    </row>
    <row r="57" ht="14.25">
      <c r="A57" s="250"/>
      <c r="B57" s="250"/>
      <c r="C57" s="250"/>
      <c r="D57" s="250"/>
      <c r="E57" s="250"/>
      <c r="F57" s="250"/>
      <c r="G57" s="250"/>
      <c r="H57" s="250"/>
      <c r="I57" s="250"/>
      <c r="J57" s="250"/>
      <c r="K57" s="250"/>
    </row>
    <row r="58" ht="14.25">
      <c r="A58" s="250"/>
      <c r="B58" s="250"/>
      <c r="C58" s="250"/>
      <c r="D58" s="250"/>
      <c r="E58" s="250"/>
      <c r="F58" s="250"/>
      <c r="G58" s="250"/>
      <c r="H58" s="250"/>
      <c r="I58" s="250"/>
      <c r="J58" s="250"/>
      <c r="K58" s="250"/>
    </row>
    <row r="59" ht="14.25">
      <c r="A59" s="250"/>
      <c r="B59" s="250"/>
      <c r="C59" s="250"/>
      <c r="D59" s="250"/>
      <c r="E59" s="250"/>
      <c r="F59" s="250"/>
      <c r="G59" s="250"/>
      <c r="H59" s="250"/>
      <c r="I59" s="250"/>
      <c r="J59" s="250"/>
      <c r="K59" s="250"/>
    </row>
    <row r="60" ht="14.25">
      <c r="A60" s="250"/>
      <c r="B60" s="250"/>
      <c r="C60" s="250"/>
      <c r="D60" s="250"/>
      <c r="E60" s="250"/>
      <c r="F60" s="250"/>
      <c r="G60" s="250"/>
      <c r="H60" s="250"/>
      <c r="I60" s="250"/>
      <c r="J60" s="250"/>
      <c r="K60" s="250"/>
    </row>
    <row r="61" ht="14.25">
      <c r="A61" s="250"/>
      <c r="B61" s="250"/>
      <c r="C61" s="250"/>
      <c r="D61" s="250"/>
      <c r="E61" s="250"/>
      <c r="F61" s="250"/>
      <c r="G61" s="250"/>
      <c r="H61" s="250"/>
      <c r="I61" s="250"/>
      <c r="J61" s="250"/>
      <c r="K61" s="250"/>
    </row>
    <row r="62" ht="14.25">
      <c r="A62" s="250"/>
      <c r="B62" s="250"/>
      <c r="C62" s="250"/>
      <c r="D62" s="250"/>
      <c r="E62" s="250"/>
      <c r="F62" s="250"/>
      <c r="G62" s="250"/>
      <c r="H62" s="250"/>
      <c r="I62" s="250"/>
      <c r="J62" s="250"/>
      <c r="K62" s="250"/>
    </row>
    <row r="63" ht="14.25">
      <c r="A63" s="250"/>
      <c r="B63" s="250"/>
      <c r="C63" s="250"/>
      <c r="D63" s="250"/>
      <c r="E63" s="250"/>
      <c r="F63" s="250"/>
      <c r="G63" s="250"/>
      <c r="H63" s="250"/>
      <c r="I63" s="250"/>
      <c r="J63" s="250"/>
      <c r="K63" s="250"/>
    </row>
    <row r="64" ht="14.25">
      <c r="A64" s="250"/>
      <c r="B64" s="250"/>
      <c r="C64" s="250"/>
      <c r="D64" s="250"/>
      <c r="E64" s="250"/>
      <c r="F64" s="250"/>
      <c r="G64" s="250"/>
      <c r="H64" s="250"/>
      <c r="I64" s="250"/>
      <c r="J64" s="250"/>
      <c r="K64" s="250"/>
    </row>
    <row r="65" ht="14.25">
      <c r="A65" s="250"/>
      <c r="B65" s="250"/>
      <c r="C65" s="250"/>
      <c r="D65" s="250"/>
      <c r="E65" s="250"/>
      <c r="F65" s="250"/>
      <c r="G65" s="250"/>
      <c r="H65" s="250"/>
      <c r="I65" s="250"/>
      <c r="J65" s="250"/>
      <c r="K65" s="250"/>
    </row>
    <row r="66" ht="14.25">
      <c r="A66" s="250"/>
      <c r="B66" s="250"/>
      <c r="C66" s="250"/>
      <c r="D66" s="250"/>
      <c r="E66" s="250"/>
      <c r="F66" s="250"/>
      <c r="G66" s="250"/>
      <c r="H66" s="250"/>
      <c r="I66" s="250"/>
      <c r="J66" s="250"/>
      <c r="K66" s="250"/>
    </row>
    <row r="67" ht="14.25">
      <c r="A67" s="250"/>
      <c r="B67" s="250"/>
      <c r="C67" s="250"/>
      <c r="D67" s="250"/>
      <c r="E67" s="250"/>
      <c r="F67" s="250"/>
      <c r="G67" s="250"/>
      <c r="H67" s="250"/>
      <c r="I67" s="250"/>
      <c r="J67" s="250"/>
      <c r="K67" s="250"/>
    </row>
    <row r="68" ht="14.25">
      <c r="A68" s="250"/>
      <c r="B68" s="250"/>
      <c r="C68" s="250"/>
      <c r="D68" s="250"/>
      <c r="E68" s="250"/>
      <c r="F68" s="250"/>
      <c r="G68" s="250"/>
      <c r="H68" s="250"/>
      <c r="I68" s="250"/>
      <c r="J68" s="250"/>
      <c r="K68" s="250"/>
    </row>
    <row r="69" ht="14.25">
      <c r="A69" s="250"/>
      <c r="B69" s="250"/>
      <c r="C69" s="250"/>
      <c r="D69" s="250"/>
      <c r="E69" s="250"/>
      <c r="F69" s="250"/>
      <c r="G69" s="250"/>
      <c r="H69" s="250"/>
      <c r="I69" s="250"/>
      <c r="J69" s="250"/>
      <c r="K69" s="250"/>
    </row>
    <row r="70" ht="14.25">
      <c r="A70" s="250"/>
      <c r="B70" s="250"/>
      <c r="C70" s="250"/>
      <c r="D70" s="250"/>
      <c r="E70" s="250"/>
      <c r="F70" s="250"/>
      <c r="G70" s="250"/>
      <c r="H70" s="250"/>
      <c r="I70" s="250"/>
      <c r="J70" s="250"/>
      <c r="K70" s="250"/>
    </row>
    <row r="71" ht="14.25">
      <c r="A71" s="250"/>
      <c r="B71" s="250"/>
      <c r="C71" s="250"/>
      <c r="D71" s="250"/>
      <c r="E71" s="250"/>
      <c r="F71" s="250"/>
      <c r="G71" s="250"/>
      <c r="H71" s="250"/>
      <c r="I71" s="250"/>
      <c r="J71" s="250"/>
      <c r="K71" s="250"/>
    </row>
    <row r="72" ht="14.25">
      <c r="A72" s="250"/>
      <c r="B72" s="250"/>
      <c r="C72" s="250"/>
      <c r="D72" s="250"/>
      <c r="E72" s="250"/>
      <c r="F72" s="250"/>
      <c r="G72" s="250"/>
      <c r="H72" s="250"/>
      <c r="I72" s="250"/>
      <c r="J72" s="250"/>
      <c r="K72" s="250"/>
    </row>
    <row r="73" ht="14.25">
      <c r="A73" s="250"/>
      <c r="B73" s="250"/>
      <c r="C73" s="250"/>
      <c r="D73" s="250"/>
      <c r="E73" s="250"/>
      <c r="F73" s="250"/>
      <c r="G73" s="250"/>
      <c r="H73" s="250"/>
      <c r="I73" s="250"/>
      <c r="J73" s="250"/>
      <c r="K73" s="250"/>
    </row>
    <row r="74" ht="14.25">
      <c r="A74" s="250"/>
      <c r="B74" s="250"/>
      <c r="C74" s="250"/>
      <c r="D74" s="250"/>
      <c r="E74" s="250"/>
      <c r="F74" s="250"/>
      <c r="G74" s="250"/>
      <c r="H74" s="250"/>
      <c r="I74" s="250"/>
      <c r="J74" s="250"/>
      <c r="K74" s="250"/>
    </row>
    <row r="75" ht="14.25">
      <c r="A75" s="250"/>
      <c r="B75" s="250"/>
      <c r="C75" s="250"/>
      <c r="D75" s="250"/>
      <c r="E75" s="250"/>
      <c r="F75" s="250"/>
      <c r="G75" s="250"/>
      <c r="H75" s="250"/>
      <c r="I75" s="250"/>
      <c r="J75" s="250"/>
      <c r="K75" s="250"/>
    </row>
    <row r="76" ht="14.25">
      <c r="A76" s="250"/>
      <c r="B76" s="250"/>
      <c r="C76" s="250"/>
      <c r="D76" s="250"/>
      <c r="E76" s="250"/>
      <c r="F76" s="250"/>
      <c r="G76" s="250"/>
      <c r="H76" s="250"/>
      <c r="I76" s="250"/>
      <c r="J76" s="250"/>
      <c r="K76" s="250"/>
    </row>
    <row r="77" ht="14.25">
      <c r="A77" s="250"/>
      <c r="B77" s="250"/>
      <c r="C77" s="250"/>
      <c r="D77" s="250"/>
      <c r="E77" s="250"/>
      <c r="F77" s="250"/>
      <c r="G77" s="250"/>
      <c r="H77" s="250"/>
      <c r="I77" s="250"/>
      <c r="J77" s="250"/>
      <c r="K77" s="250"/>
    </row>
    <row r="78" ht="14.25">
      <c r="A78" s="250"/>
      <c r="B78" s="250"/>
      <c r="C78" s="250"/>
      <c r="D78" s="250"/>
      <c r="E78" s="250"/>
      <c r="F78" s="250"/>
      <c r="G78" s="250"/>
      <c r="H78" s="250"/>
      <c r="I78" s="250"/>
      <c r="J78" s="250"/>
      <c r="K78" s="250"/>
    </row>
    <row r="79" ht="14.25">
      <c r="A79" s="250"/>
      <c r="B79" s="250"/>
      <c r="C79" s="250"/>
      <c r="D79" s="250"/>
      <c r="E79" s="250"/>
      <c r="F79" s="250"/>
      <c r="G79" s="250"/>
      <c r="H79" s="250"/>
      <c r="I79" s="250"/>
      <c r="J79" s="250"/>
      <c r="K79" s="250"/>
    </row>
    <row r="80" ht="14.25">
      <c r="A80" s="250"/>
      <c r="B80" s="250"/>
      <c r="C80" s="250"/>
      <c r="D80" s="250"/>
      <c r="E80" s="250"/>
      <c r="F80" s="250"/>
      <c r="G80" s="250"/>
      <c r="H80" s="250"/>
      <c r="I80" s="250"/>
      <c r="J80" s="250"/>
      <c r="K80" s="250"/>
    </row>
    <row r="81" ht="14.25">
      <c r="A81" s="250"/>
      <c r="B81" s="250"/>
      <c r="C81" s="250"/>
      <c r="D81" s="250"/>
      <c r="E81" s="250"/>
      <c r="F81" s="250"/>
      <c r="G81" s="250"/>
      <c r="H81" s="250"/>
      <c r="I81" s="250"/>
      <c r="J81" s="250"/>
      <c r="K81" s="250"/>
    </row>
    <row r="82" ht="14.25">
      <c r="A82" s="250"/>
      <c r="B82" s="250"/>
      <c r="C82" s="250"/>
      <c r="D82" s="250"/>
      <c r="E82" s="250"/>
      <c r="F82" s="250"/>
      <c r="G82" s="250"/>
      <c r="H82" s="250"/>
      <c r="I82" s="250"/>
      <c r="J82" s="250"/>
      <c r="K82" s="250"/>
    </row>
    <row r="83" ht="14.25">
      <c r="A83" s="250"/>
      <c r="B83" s="250"/>
      <c r="C83" s="250"/>
      <c r="D83" s="250"/>
      <c r="E83" s="250"/>
      <c r="F83" s="250"/>
      <c r="G83" s="250"/>
      <c r="H83" s="250"/>
      <c r="I83" s="250"/>
      <c r="J83" s="250"/>
      <c r="K83" s="250"/>
    </row>
    <row r="84" ht="14.25">
      <c r="A84" s="194"/>
      <c r="B84" s="194"/>
      <c r="C84" s="194"/>
      <c r="D84" s="194"/>
      <c r="E84" s="194"/>
      <c r="F84" s="194"/>
      <c r="G84" s="194"/>
      <c r="H84" s="194"/>
      <c r="I84" s="194"/>
      <c r="J84" s="194"/>
      <c r="K84" s="194"/>
    </row>
    <row r="85" ht="14.25">
      <c r="A85" s="194"/>
      <c r="B85" s="194"/>
      <c r="C85" s="194"/>
      <c r="D85" s="194"/>
      <c r="E85" s="194"/>
      <c r="F85" s="194"/>
      <c r="G85" s="194"/>
      <c r="H85" s="194"/>
      <c r="I85" s="194"/>
      <c r="J85" s="194"/>
      <c r="K85" s="194"/>
    </row>
    <row r="86" ht="14.25">
      <c r="A86" s="194"/>
      <c r="B86" s="194"/>
      <c r="C86" s="194"/>
      <c r="D86" s="194"/>
      <c r="E86" s="194"/>
      <c r="F86" s="194"/>
      <c r="G86" s="194"/>
      <c r="H86" s="194"/>
      <c r="I86" s="194"/>
      <c r="J86" s="194"/>
      <c r="K86" s="194"/>
    </row>
    <row r="87" ht="14.25">
      <c r="A87" s="194"/>
      <c r="B87" s="194"/>
      <c r="C87" s="194"/>
      <c r="D87" s="194"/>
      <c r="E87" s="194"/>
      <c r="F87" s="194"/>
      <c r="G87" s="194"/>
      <c r="H87" s="194"/>
      <c r="I87" s="194"/>
      <c r="J87" s="194"/>
      <c r="K87" s="194"/>
    </row>
    <row r="88" ht="14.25">
      <c r="A88" s="194"/>
      <c r="B88" s="194"/>
      <c r="C88" s="194"/>
      <c r="D88" s="194"/>
      <c r="E88" s="194"/>
      <c r="F88" s="194"/>
      <c r="G88" s="194"/>
      <c r="H88" s="194"/>
      <c r="I88" s="194"/>
      <c r="J88" s="194"/>
      <c r="K88" s="194"/>
    </row>
    <row r="89" ht="14.25">
      <c r="A89" s="194"/>
      <c r="B89" s="194"/>
      <c r="C89" s="194"/>
      <c r="D89" s="194"/>
      <c r="E89" s="194"/>
      <c r="F89" s="194"/>
      <c r="G89" s="194"/>
      <c r="H89" s="194"/>
      <c r="I89" s="194"/>
      <c r="J89" s="194"/>
      <c r="K89" s="194"/>
    </row>
  </sheetData>
  <mergeCells count="6">
    <mergeCell ref="G3:G6"/>
    <mergeCell ref="B8:G8"/>
    <mergeCell ref="H8:AK8"/>
    <mergeCell ref="AL8:BO8"/>
    <mergeCell ref="BP8:CT8"/>
    <mergeCell ref="CU8:CW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M1" zoomScale="100" workbookViewId="0">
      <selection activeCell="A1" activeCellId="0" sqref="A1"/>
    </sheetView>
  </sheetViews>
  <sheetFormatPr defaultRowHeight="14.25"/>
  <cols>
    <col customWidth="1" min="1" max="9" width="2.9609375"/>
    <col customWidth="1" min="10" max="14" width="2.9609375"/>
    <col customWidth="1" min="15" max="36" width="2.9609375"/>
    <col customWidth="1" min="37" max="37" width="2.9609375"/>
    <col customWidth="1" min="38" max="43" width="2.9609375"/>
    <col customWidth="1" min="44" max="49" width="2.9609375"/>
    <col customWidth="1" min="50" max="50" width="2.9609375"/>
    <col customWidth="1" min="51" max="59" width="2.9609375"/>
    <col customWidth="1" min="60" max="16384" width="2.9609375"/>
  </cols>
  <sheetData>
    <row r="1" ht="14.25">
      <c r="A1" t="s">
        <v>468</v>
      </c>
    </row>
    <row r="2" ht="14.25">
      <c r="A2" t="s">
        <v>469</v>
      </c>
    </row>
    <row r="3" ht="14.25">
      <c r="A3" t="s">
        <v>470</v>
      </c>
    </row>
    <row r="4" ht="14.25">
      <c r="A4" t="s">
        <v>471</v>
      </c>
    </row>
    <row r="6" ht="14.25">
      <c r="B6" s="251" t="s">
        <v>472</v>
      </c>
      <c r="C6" s="252"/>
      <c r="D6" s="251" t="s">
        <v>473</v>
      </c>
      <c r="E6" s="253"/>
      <c r="F6" s="253"/>
      <c r="G6" s="253"/>
      <c r="H6" s="253"/>
      <c r="I6" s="253"/>
      <c r="J6" s="253"/>
      <c r="K6" s="253"/>
      <c r="L6" s="253"/>
      <c r="M6" s="253"/>
      <c r="N6" s="253"/>
      <c r="O6" s="253"/>
      <c r="P6" s="253"/>
      <c r="Q6" s="253"/>
      <c r="R6" s="253"/>
      <c r="S6" s="253"/>
      <c r="T6" s="252"/>
      <c r="U6" s="251" t="s">
        <v>474</v>
      </c>
      <c r="V6" s="253"/>
      <c r="W6" s="253"/>
      <c r="X6" s="253"/>
      <c r="Y6" s="252"/>
      <c r="Z6" s="251" t="s">
        <v>475</v>
      </c>
      <c r="AA6" s="253"/>
      <c r="AB6" s="253"/>
      <c r="AC6" s="252"/>
      <c r="AD6" s="251" t="s">
        <v>476</v>
      </c>
      <c r="AE6" s="253"/>
      <c r="AF6" s="252"/>
      <c r="AG6" s="251" t="s">
        <v>477</v>
      </c>
      <c r="AH6" s="253"/>
      <c r="AI6" s="252"/>
      <c r="AJ6" s="251" t="s">
        <v>478</v>
      </c>
      <c r="AK6" s="254"/>
      <c r="AL6" s="253"/>
      <c r="AM6" s="253"/>
      <c r="AN6" s="253"/>
      <c r="AO6" s="252"/>
      <c r="AP6" s="251" t="s">
        <v>479</v>
      </c>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2"/>
      <c r="BW6" s="251" t="s">
        <v>480</v>
      </c>
      <c r="BX6" s="253"/>
      <c r="BY6" s="253"/>
      <c r="BZ6" s="252"/>
      <c r="CA6" s="251" t="s">
        <v>481</v>
      </c>
      <c r="CB6" s="253"/>
      <c r="CC6" s="253"/>
      <c r="CD6" s="252"/>
      <c r="CE6" s="255" t="s">
        <v>482</v>
      </c>
      <c r="CF6" s="256"/>
      <c r="CG6" s="256"/>
      <c r="CH6" s="257"/>
    </row>
    <row r="7" ht="14.25">
      <c r="B7" s="258" t="s">
        <v>483</v>
      </c>
      <c r="C7" s="259"/>
      <c r="D7" s="260" t="s">
        <v>484</v>
      </c>
      <c r="E7" s="260"/>
      <c r="F7" s="260"/>
      <c r="G7" s="260"/>
      <c r="H7" s="260"/>
      <c r="I7" s="260"/>
      <c r="J7" s="260"/>
      <c r="K7" s="260"/>
      <c r="L7" s="260"/>
      <c r="M7" s="260"/>
      <c r="N7" s="260"/>
      <c r="O7" s="260"/>
      <c r="P7" s="260"/>
      <c r="Q7" s="260"/>
      <c r="R7" s="260"/>
      <c r="S7" s="260"/>
      <c r="T7" s="260"/>
      <c r="U7" s="258" t="s">
        <v>485</v>
      </c>
      <c r="V7" s="261"/>
      <c r="W7" s="261"/>
      <c r="X7" s="261"/>
      <c r="Y7" s="259"/>
      <c r="Z7" s="262">
        <v>3</v>
      </c>
      <c r="AA7" s="263"/>
      <c r="AB7" s="263"/>
      <c r="AC7" s="264"/>
      <c r="AD7" s="262">
        <v>5</v>
      </c>
      <c r="AE7" s="263"/>
      <c r="AF7" s="264"/>
      <c r="AG7" s="262">
        <f>Z7*AD7</f>
        <v>15</v>
      </c>
      <c r="AH7" s="263"/>
      <c r="AI7" s="264"/>
      <c r="AJ7" s="258" t="s">
        <v>486</v>
      </c>
      <c r="AK7" s="265"/>
      <c r="AL7" s="261"/>
      <c r="AM7" s="261"/>
      <c r="AN7" s="261"/>
      <c r="AO7" s="259"/>
      <c r="AP7" s="266" t="s">
        <v>487</v>
      </c>
      <c r="AQ7" s="260"/>
      <c r="AR7" s="260"/>
      <c r="AS7" s="260"/>
      <c r="AT7" s="260"/>
      <c r="AU7" s="260"/>
      <c r="AV7" s="260"/>
      <c r="AW7" s="260"/>
      <c r="AX7" s="260"/>
      <c r="AY7" s="260"/>
      <c r="AZ7" s="260"/>
      <c r="BA7" s="260"/>
      <c r="BB7" s="260"/>
      <c r="BC7" s="260"/>
      <c r="BD7" s="260"/>
      <c r="BE7" s="260"/>
      <c r="BF7" s="260"/>
      <c r="BG7" s="260"/>
      <c r="BH7" s="260"/>
      <c r="BI7" s="260"/>
      <c r="BJ7" s="260"/>
      <c r="BK7" s="260"/>
      <c r="BL7" s="260"/>
      <c r="BM7" s="260"/>
      <c r="BN7" s="260"/>
      <c r="BO7" s="260"/>
      <c r="BP7" s="260"/>
      <c r="BQ7" s="260"/>
      <c r="BR7" s="260"/>
      <c r="BS7" s="260"/>
      <c r="BT7" s="260"/>
      <c r="BU7" s="260"/>
      <c r="BV7" s="267"/>
      <c r="BW7" s="258" t="s">
        <v>80</v>
      </c>
      <c r="BX7" s="261"/>
      <c r="BY7" s="261"/>
      <c r="BZ7" s="259"/>
      <c r="CA7" s="258" t="s">
        <v>488</v>
      </c>
      <c r="CB7" s="261"/>
      <c r="CC7" s="261"/>
      <c r="CD7" s="259"/>
      <c r="CE7" s="258" t="s">
        <v>489</v>
      </c>
      <c r="CF7" s="261"/>
      <c r="CG7" s="261"/>
      <c r="CH7" s="259"/>
    </row>
    <row r="8" ht="14.25">
      <c r="B8" s="258" t="s">
        <v>490</v>
      </c>
      <c r="C8" s="259"/>
      <c r="D8" s="268" t="s">
        <v>491</v>
      </c>
      <c r="E8" s="260"/>
      <c r="F8" s="260"/>
      <c r="G8" s="260"/>
      <c r="H8" s="260"/>
      <c r="I8" s="260"/>
      <c r="J8" s="260"/>
      <c r="K8" s="260"/>
      <c r="L8" s="260"/>
      <c r="M8" s="260"/>
      <c r="N8" s="260"/>
      <c r="O8" s="260"/>
      <c r="P8" s="260"/>
      <c r="Q8" s="260"/>
      <c r="R8" s="260"/>
      <c r="S8" s="260"/>
      <c r="T8" s="267"/>
      <c r="U8" s="258" t="s">
        <v>492</v>
      </c>
      <c r="V8" s="261"/>
      <c r="W8" s="261"/>
      <c r="X8" s="261"/>
      <c r="Y8" s="259"/>
      <c r="Z8" s="262">
        <v>2</v>
      </c>
      <c r="AA8" s="263"/>
      <c r="AB8" s="263"/>
      <c r="AC8" s="264"/>
      <c r="AD8" s="262">
        <v>4</v>
      </c>
      <c r="AE8" s="263"/>
      <c r="AF8" s="264"/>
      <c r="AG8" s="262">
        <f>Z8*AD8</f>
        <v>8</v>
      </c>
      <c r="AH8" s="263"/>
      <c r="AI8" s="264"/>
      <c r="AJ8" s="258" t="s">
        <v>493</v>
      </c>
      <c r="AK8" s="265"/>
      <c r="AL8" s="261"/>
      <c r="AM8" s="261"/>
      <c r="AN8" s="261"/>
      <c r="AO8" s="259"/>
      <c r="AP8" s="268" t="s">
        <v>494</v>
      </c>
      <c r="AQ8" s="260"/>
      <c r="AR8" s="260"/>
      <c r="AS8" s="260"/>
      <c r="AT8" s="260"/>
      <c r="AU8" s="260"/>
      <c r="AV8" s="260"/>
      <c r="AW8" s="260"/>
      <c r="AX8" s="260"/>
      <c r="AY8" s="260"/>
      <c r="AZ8" s="260"/>
      <c r="BA8" s="260"/>
      <c r="BB8" s="260"/>
      <c r="BC8" s="260"/>
      <c r="BD8" s="260"/>
      <c r="BE8" s="260"/>
      <c r="BF8" s="260"/>
      <c r="BG8" s="260"/>
      <c r="BH8" s="260"/>
      <c r="BI8" s="260"/>
      <c r="BJ8" s="260"/>
      <c r="BK8" s="260"/>
      <c r="BL8" s="260"/>
      <c r="BM8" s="260"/>
      <c r="BN8" s="260"/>
      <c r="BO8" s="260"/>
      <c r="BP8" s="260"/>
      <c r="BQ8" s="260"/>
      <c r="BR8" s="260"/>
      <c r="BS8" s="260"/>
      <c r="BT8" s="260"/>
      <c r="BU8" s="260"/>
      <c r="BV8" s="267"/>
      <c r="BW8" s="258" t="s">
        <v>30</v>
      </c>
      <c r="BX8" s="261"/>
      <c r="BY8" s="261"/>
      <c r="BZ8" s="259"/>
      <c r="CA8" s="269" t="s">
        <v>488</v>
      </c>
      <c r="CB8" s="270"/>
      <c r="CC8" s="270"/>
      <c r="CD8" s="271"/>
      <c r="CE8" s="258" t="s">
        <v>489</v>
      </c>
      <c r="CF8" s="261"/>
      <c r="CG8" s="261"/>
      <c r="CH8" s="259"/>
    </row>
    <row r="9" ht="14.25">
      <c r="B9" s="258" t="s">
        <v>495</v>
      </c>
      <c r="C9" s="259"/>
      <c r="D9" s="268" t="s">
        <v>496</v>
      </c>
      <c r="E9" s="260"/>
      <c r="F9" s="260"/>
      <c r="G9" s="260"/>
      <c r="H9" s="260"/>
      <c r="I9" s="260"/>
      <c r="J9" s="260"/>
      <c r="K9" s="260"/>
      <c r="L9" s="260"/>
      <c r="M9" s="260"/>
      <c r="N9" s="260"/>
      <c r="O9" s="260"/>
      <c r="P9" s="260"/>
      <c r="Q9" s="260"/>
      <c r="R9" s="260"/>
      <c r="S9" s="260"/>
      <c r="T9" s="267"/>
      <c r="U9" s="258" t="s">
        <v>497</v>
      </c>
      <c r="V9" s="261"/>
      <c r="W9" s="261"/>
      <c r="X9" s="261"/>
      <c r="Y9" s="259"/>
      <c r="Z9" s="262">
        <v>2</v>
      </c>
      <c r="AA9" s="263"/>
      <c r="AB9" s="263"/>
      <c r="AC9" s="264"/>
      <c r="AD9" s="262">
        <v>4</v>
      </c>
      <c r="AE9" s="263"/>
      <c r="AF9" s="264"/>
      <c r="AG9" s="262">
        <f>Z9*AD9</f>
        <v>8</v>
      </c>
      <c r="AH9" s="263"/>
      <c r="AI9" s="264"/>
      <c r="AJ9" s="258" t="s">
        <v>486</v>
      </c>
      <c r="AK9" s="265"/>
      <c r="AL9" s="261"/>
      <c r="AM9" s="261"/>
      <c r="AN9" s="261"/>
      <c r="AO9" s="259"/>
      <c r="AP9" s="268" t="s">
        <v>498</v>
      </c>
      <c r="AQ9" s="260"/>
      <c r="AR9" s="260"/>
      <c r="AS9" s="260"/>
      <c r="AT9" s="260"/>
      <c r="AU9" s="260"/>
      <c r="AV9" s="260"/>
      <c r="AW9" s="260"/>
      <c r="AX9" s="260"/>
      <c r="AY9" s="260"/>
      <c r="AZ9" s="260"/>
      <c r="BA9" s="260"/>
      <c r="BB9" s="260"/>
      <c r="BC9" s="260"/>
      <c r="BD9" s="260"/>
      <c r="BE9" s="260"/>
      <c r="BF9" s="260"/>
      <c r="BG9" s="260"/>
      <c r="BH9" s="260"/>
      <c r="BI9" s="260"/>
      <c r="BJ9" s="260"/>
      <c r="BK9" s="260"/>
      <c r="BL9" s="260"/>
      <c r="BM9" s="260"/>
      <c r="BN9" s="260"/>
      <c r="BO9" s="260"/>
      <c r="BP9" s="260"/>
      <c r="BQ9" s="260"/>
      <c r="BR9" s="260"/>
      <c r="BS9" s="260"/>
      <c r="BT9" s="260"/>
      <c r="BU9" s="260"/>
      <c r="BV9" s="267"/>
      <c r="BW9" s="258" t="s">
        <v>499</v>
      </c>
      <c r="BX9" s="261"/>
      <c r="BY9" s="261"/>
      <c r="BZ9" s="259"/>
      <c r="CA9" s="269" t="s">
        <v>488</v>
      </c>
      <c r="CB9" s="270"/>
      <c r="CC9" s="270"/>
      <c r="CD9" s="271"/>
      <c r="CE9" s="258" t="s">
        <v>489</v>
      </c>
      <c r="CF9" s="261"/>
      <c r="CG9" s="261"/>
      <c r="CH9" s="259"/>
    </row>
    <row r="10" ht="14.25">
      <c r="B10" s="258" t="s">
        <v>500</v>
      </c>
      <c r="C10" s="259"/>
      <c r="D10" s="268" t="s">
        <v>501</v>
      </c>
      <c r="E10" s="260"/>
      <c r="F10" s="260"/>
      <c r="G10" s="260"/>
      <c r="H10" s="260"/>
      <c r="I10" s="260"/>
      <c r="J10" s="260"/>
      <c r="K10" s="260"/>
      <c r="L10" s="260"/>
      <c r="M10" s="260"/>
      <c r="N10" s="260"/>
      <c r="O10" s="260"/>
      <c r="P10" s="260"/>
      <c r="Q10" s="260"/>
      <c r="R10" s="260"/>
      <c r="S10" s="260"/>
      <c r="T10" s="267"/>
      <c r="U10" s="269" t="s">
        <v>485</v>
      </c>
      <c r="V10" s="270"/>
      <c r="W10" s="270"/>
      <c r="X10" s="270"/>
      <c r="Y10" s="271"/>
      <c r="Z10" s="262">
        <v>3</v>
      </c>
      <c r="AA10" s="263"/>
      <c r="AB10" s="263"/>
      <c r="AC10" s="264"/>
      <c r="AD10" s="262">
        <v>4</v>
      </c>
      <c r="AE10" s="263"/>
      <c r="AF10" s="264"/>
      <c r="AG10" s="262">
        <f>Z10*AD10</f>
        <v>12</v>
      </c>
      <c r="AH10" s="263"/>
      <c r="AI10" s="264"/>
      <c r="AJ10" s="258" t="s">
        <v>502</v>
      </c>
      <c r="AK10" s="265"/>
      <c r="AL10" s="261"/>
      <c r="AM10" s="261"/>
      <c r="AN10" s="261"/>
      <c r="AO10" s="259"/>
      <c r="AP10" s="268" t="s">
        <v>503</v>
      </c>
      <c r="AQ10" s="260"/>
      <c r="AR10" s="260"/>
      <c r="AS10" s="260"/>
      <c r="AT10" s="260"/>
      <c r="AU10" s="260"/>
      <c r="AV10" s="260"/>
      <c r="AW10" s="260"/>
      <c r="AX10" s="260"/>
      <c r="AY10" s="260"/>
      <c r="AZ10" s="260"/>
      <c r="BA10" s="260"/>
      <c r="BB10" s="260"/>
      <c r="BC10" s="260"/>
      <c r="BD10" s="260"/>
      <c r="BE10" s="260"/>
      <c r="BF10" s="260"/>
      <c r="BG10" s="260"/>
      <c r="BH10" s="260"/>
      <c r="BI10" s="260"/>
      <c r="BJ10" s="260"/>
      <c r="BK10" s="260"/>
      <c r="BL10" s="260"/>
      <c r="BM10" s="260"/>
      <c r="BN10" s="260"/>
      <c r="BO10" s="260"/>
      <c r="BP10" s="260"/>
      <c r="BQ10" s="260"/>
      <c r="BR10" s="260"/>
      <c r="BS10" s="260"/>
      <c r="BT10" s="260"/>
      <c r="BU10" s="260"/>
      <c r="BV10" s="267"/>
      <c r="BW10" s="258" t="s">
        <v>80</v>
      </c>
      <c r="BX10" s="261"/>
      <c r="BY10" s="261"/>
      <c r="BZ10" s="259"/>
      <c r="CA10" s="269" t="s">
        <v>488</v>
      </c>
      <c r="CB10" s="270"/>
      <c r="CC10" s="270"/>
      <c r="CD10" s="271"/>
      <c r="CE10" s="258" t="s">
        <v>489</v>
      </c>
      <c r="CF10" s="261"/>
      <c r="CG10" s="261"/>
      <c r="CH10" s="259"/>
    </row>
    <row r="11" ht="14.25">
      <c r="B11" s="258" t="s">
        <v>504</v>
      </c>
      <c r="C11" s="259"/>
      <c r="D11" s="268" t="s">
        <v>505</v>
      </c>
      <c r="E11" s="260"/>
      <c r="F11" s="260"/>
      <c r="G11" s="260"/>
      <c r="H11" s="260"/>
      <c r="I11" s="260"/>
      <c r="J11" s="260"/>
      <c r="K11" s="260"/>
      <c r="L11" s="260"/>
      <c r="M11" s="260"/>
      <c r="N11" s="260"/>
      <c r="O11" s="260"/>
      <c r="P11" s="260"/>
      <c r="Q11" s="260"/>
      <c r="R11" s="260"/>
      <c r="S11" s="260"/>
      <c r="T11" s="267"/>
      <c r="U11" s="258" t="s">
        <v>25</v>
      </c>
      <c r="V11" s="261"/>
      <c r="W11" s="261"/>
      <c r="X11" s="261"/>
      <c r="Y11" s="259"/>
      <c r="Z11" s="262">
        <v>5</v>
      </c>
      <c r="AA11" s="263"/>
      <c r="AB11" s="263"/>
      <c r="AC11" s="264"/>
      <c r="AD11" s="262">
        <v>2</v>
      </c>
      <c r="AE11" s="263"/>
      <c r="AF11" s="264"/>
      <c r="AG11" s="262">
        <f>Z11*AD11</f>
        <v>10</v>
      </c>
      <c r="AH11" s="263"/>
      <c r="AI11" s="264"/>
      <c r="AJ11" s="258" t="s">
        <v>486</v>
      </c>
      <c r="AK11" s="265"/>
      <c r="AL11" s="261"/>
      <c r="AM11" s="261"/>
      <c r="AN11" s="261"/>
      <c r="AO11" s="259"/>
      <c r="AP11" s="268" t="s">
        <v>506</v>
      </c>
      <c r="AQ11" s="260"/>
      <c r="AR11" s="260"/>
      <c r="AS11" s="260"/>
      <c r="AT11" s="260"/>
      <c r="AU11" s="260"/>
      <c r="AV11" s="260"/>
      <c r="AW11" s="260"/>
      <c r="AX11" s="260"/>
      <c r="AY11" s="260"/>
      <c r="AZ11" s="260"/>
      <c r="BA11" s="260"/>
      <c r="BB11" s="260"/>
      <c r="BC11" s="260"/>
      <c r="BD11" s="260"/>
      <c r="BE11" s="260"/>
      <c r="BF11" s="260"/>
      <c r="BG11" s="260"/>
      <c r="BH11" s="260"/>
      <c r="BI11" s="260"/>
      <c r="BJ11" s="260"/>
      <c r="BK11" s="260"/>
      <c r="BL11" s="260"/>
      <c r="BM11" s="260"/>
      <c r="BN11" s="260"/>
      <c r="BO11" s="260"/>
      <c r="BP11" s="260"/>
      <c r="BQ11" s="260"/>
      <c r="BR11" s="260"/>
      <c r="BS11" s="260"/>
      <c r="BT11" s="260"/>
      <c r="BU11" s="260"/>
      <c r="BV11" s="267"/>
      <c r="BW11" s="269" t="s">
        <v>30</v>
      </c>
      <c r="BX11" s="270"/>
      <c r="BY11" s="270"/>
      <c r="BZ11" s="271"/>
      <c r="CA11" s="269" t="s">
        <v>488</v>
      </c>
      <c r="CB11" s="270"/>
      <c r="CC11" s="270"/>
      <c r="CD11" s="271"/>
      <c r="CE11" s="258" t="s">
        <v>489</v>
      </c>
      <c r="CF11" s="261"/>
      <c r="CG11" s="261"/>
      <c r="CH11" s="259"/>
    </row>
    <row r="12" ht="14.25">
      <c r="B12" s="258" t="s">
        <v>507</v>
      </c>
      <c r="C12" s="259"/>
      <c r="D12" s="268" t="s">
        <v>508</v>
      </c>
      <c r="E12" s="260"/>
      <c r="F12" s="260"/>
      <c r="G12" s="260"/>
      <c r="H12" s="260"/>
      <c r="I12" s="260"/>
      <c r="J12" s="260"/>
      <c r="K12" s="260"/>
      <c r="L12" s="260"/>
      <c r="M12" s="260"/>
      <c r="N12" s="260"/>
      <c r="O12" s="260"/>
      <c r="P12" s="260"/>
      <c r="Q12" s="260"/>
      <c r="R12" s="260"/>
      <c r="S12" s="260"/>
      <c r="T12" s="267"/>
      <c r="U12" s="258" t="s">
        <v>485</v>
      </c>
      <c r="V12" s="261"/>
      <c r="W12" s="261"/>
      <c r="X12" s="261"/>
      <c r="Y12" s="259"/>
      <c r="Z12" s="262">
        <v>3</v>
      </c>
      <c r="AA12" s="263"/>
      <c r="AB12" s="263"/>
      <c r="AC12" s="264"/>
      <c r="AD12" s="262">
        <v>4</v>
      </c>
      <c r="AE12" s="263"/>
      <c r="AF12" s="264"/>
      <c r="AG12" s="262">
        <f>Z12*AD12</f>
        <v>12</v>
      </c>
      <c r="AH12" s="263"/>
      <c r="AI12" s="264"/>
      <c r="AJ12" s="269" t="s">
        <v>502</v>
      </c>
      <c r="AK12" s="270"/>
      <c r="AL12" s="270"/>
      <c r="AM12" s="270"/>
      <c r="AN12" s="270"/>
      <c r="AO12" s="271"/>
      <c r="AP12" s="268" t="s">
        <v>509</v>
      </c>
      <c r="AQ12" s="260"/>
      <c r="AR12" s="260"/>
      <c r="AS12" s="260"/>
      <c r="AT12" s="260"/>
      <c r="AU12" s="260"/>
      <c r="AV12" s="260"/>
      <c r="AW12" s="260"/>
      <c r="AX12" s="260"/>
      <c r="AY12" s="260"/>
      <c r="AZ12" s="260"/>
      <c r="BA12" s="260"/>
      <c r="BB12" s="260"/>
      <c r="BC12" s="260"/>
      <c r="BD12" s="260"/>
      <c r="BE12" s="260"/>
      <c r="BF12" s="260"/>
      <c r="BG12" s="260"/>
      <c r="BH12" s="260"/>
      <c r="BI12" s="260"/>
      <c r="BJ12" s="260"/>
      <c r="BK12" s="260"/>
      <c r="BL12" s="260"/>
      <c r="BM12" s="260"/>
      <c r="BN12" s="260"/>
      <c r="BO12" s="260"/>
      <c r="BP12" s="260"/>
      <c r="BQ12" s="260"/>
      <c r="BR12" s="260"/>
      <c r="BS12" s="260"/>
      <c r="BT12" s="260"/>
      <c r="BU12" s="260"/>
      <c r="BV12" s="267"/>
      <c r="BW12" s="258" t="s">
        <v>510</v>
      </c>
      <c r="BX12" s="261"/>
      <c r="BY12" s="261"/>
      <c r="BZ12" s="259"/>
      <c r="CA12" s="269" t="s">
        <v>488</v>
      </c>
      <c r="CB12" s="270"/>
      <c r="CC12" s="270"/>
      <c r="CD12" s="271"/>
      <c r="CE12" s="258" t="s">
        <v>489</v>
      </c>
      <c r="CF12" s="261"/>
      <c r="CG12" s="261"/>
      <c r="CH12" s="259"/>
    </row>
    <row r="13" ht="14.25">
      <c r="B13" s="258" t="s">
        <v>511</v>
      </c>
      <c r="C13" s="259"/>
      <c r="D13" s="268" t="s">
        <v>512</v>
      </c>
      <c r="E13" s="260"/>
      <c r="F13" s="260"/>
      <c r="G13" s="260"/>
      <c r="H13" s="260"/>
      <c r="I13" s="260"/>
      <c r="J13" s="260"/>
      <c r="K13" s="260"/>
      <c r="L13" s="260"/>
      <c r="M13" s="260"/>
      <c r="N13" s="260"/>
      <c r="O13" s="260"/>
      <c r="P13" s="260"/>
      <c r="Q13" s="260"/>
      <c r="R13" s="260"/>
      <c r="S13" s="260"/>
      <c r="T13" s="267"/>
      <c r="U13" s="269" t="s">
        <v>497</v>
      </c>
      <c r="V13" s="270"/>
      <c r="W13" s="270"/>
      <c r="X13" s="270"/>
      <c r="Y13" s="271"/>
      <c r="Z13" s="262">
        <v>2</v>
      </c>
      <c r="AA13" s="263"/>
      <c r="AB13" s="263"/>
      <c r="AC13" s="264"/>
      <c r="AD13" s="262">
        <v>4</v>
      </c>
      <c r="AE13" s="263"/>
      <c r="AF13" s="264"/>
      <c r="AG13" s="262">
        <f>Z13*AD13</f>
        <v>8</v>
      </c>
      <c r="AH13" s="263"/>
      <c r="AI13" s="264"/>
      <c r="AJ13" s="258" t="s">
        <v>513</v>
      </c>
      <c r="AK13" s="265"/>
      <c r="AL13" s="261"/>
      <c r="AM13" s="261"/>
      <c r="AN13" s="261"/>
      <c r="AO13" s="259"/>
      <c r="AP13" s="266"/>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7"/>
      <c r="BW13" s="258" t="s">
        <v>80</v>
      </c>
      <c r="BX13" s="261"/>
      <c r="BY13" s="261"/>
      <c r="BZ13" s="259"/>
      <c r="CA13" s="269" t="s">
        <v>488</v>
      </c>
      <c r="CB13" s="270"/>
      <c r="CC13" s="270"/>
      <c r="CD13" s="271"/>
      <c r="CE13" s="258" t="s">
        <v>489</v>
      </c>
      <c r="CF13" s="261"/>
      <c r="CG13" s="261"/>
      <c r="CH13" s="259"/>
    </row>
    <row r="14" ht="14.25">
      <c r="B14" s="258" t="s">
        <v>514</v>
      </c>
      <c r="C14" s="259"/>
      <c r="D14" s="268" t="s">
        <v>515</v>
      </c>
      <c r="E14" s="260"/>
      <c r="F14" s="260"/>
      <c r="G14" s="260"/>
      <c r="H14" s="260"/>
      <c r="I14" s="260"/>
      <c r="J14" s="260"/>
      <c r="K14" s="260"/>
      <c r="L14" s="260"/>
      <c r="M14" s="260"/>
      <c r="N14" s="260"/>
      <c r="O14" s="260"/>
      <c r="P14" s="260"/>
      <c r="Q14" s="260"/>
      <c r="R14" s="260"/>
      <c r="S14" s="260"/>
      <c r="T14" s="267"/>
      <c r="U14" s="269" t="s">
        <v>25</v>
      </c>
      <c r="V14" s="270"/>
      <c r="W14" s="270"/>
      <c r="X14" s="270"/>
      <c r="Y14" s="271"/>
      <c r="Z14" s="262">
        <v>2</v>
      </c>
      <c r="AA14" s="263"/>
      <c r="AB14" s="263"/>
      <c r="AC14" s="264"/>
      <c r="AD14" s="262">
        <v>4</v>
      </c>
      <c r="AE14" s="263"/>
      <c r="AF14" s="264"/>
      <c r="AG14" s="262">
        <f>Z14*AD14</f>
        <v>8</v>
      </c>
      <c r="AH14" s="263"/>
      <c r="AI14" s="264"/>
      <c r="AJ14" s="258" t="s">
        <v>486</v>
      </c>
      <c r="AK14" s="265"/>
      <c r="AL14" s="261"/>
      <c r="AM14" s="261"/>
      <c r="AN14" s="261"/>
      <c r="AO14" s="259"/>
      <c r="AP14" s="268" t="s">
        <v>516</v>
      </c>
      <c r="AQ14" s="260"/>
      <c r="AR14" s="260"/>
      <c r="AS14" s="260"/>
      <c r="AT14" s="260"/>
      <c r="AU14" s="260"/>
      <c r="AV14" s="260"/>
      <c r="AW14" s="260"/>
      <c r="AX14" s="260"/>
      <c r="AY14" s="260"/>
      <c r="AZ14" s="260"/>
      <c r="BA14" s="260"/>
      <c r="BB14" s="260"/>
      <c r="BC14" s="260"/>
      <c r="BD14" s="260"/>
      <c r="BE14" s="260"/>
      <c r="BF14" s="260"/>
      <c r="BG14" s="260"/>
      <c r="BH14" s="260"/>
      <c r="BI14" s="260"/>
      <c r="BJ14" s="260"/>
      <c r="BK14" s="260"/>
      <c r="BL14" s="260"/>
      <c r="BM14" s="260"/>
      <c r="BN14" s="260"/>
      <c r="BO14" s="260"/>
      <c r="BP14" s="260"/>
      <c r="BQ14" s="260"/>
      <c r="BR14" s="260"/>
      <c r="BS14" s="260"/>
      <c r="BT14" s="260"/>
      <c r="BU14" s="260"/>
      <c r="BV14" s="267"/>
      <c r="BW14" s="269" t="s">
        <v>30</v>
      </c>
      <c r="BX14" s="270"/>
      <c r="BY14" s="270"/>
      <c r="BZ14" s="271"/>
      <c r="CA14" s="269" t="s">
        <v>488</v>
      </c>
      <c r="CB14" s="270"/>
      <c r="CC14" s="270"/>
      <c r="CD14" s="271"/>
      <c r="CE14" s="258" t="s">
        <v>489</v>
      </c>
      <c r="CF14" s="261"/>
      <c r="CG14" s="261"/>
      <c r="CH14" s="259"/>
    </row>
    <row r="15" ht="14.25">
      <c r="B15" s="258" t="s">
        <v>517</v>
      </c>
      <c r="C15" s="259"/>
      <c r="D15" s="268" t="s">
        <v>518</v>
      </c>
      <c r="E15" s="260"/>
      <c r="F15" s="260"/>
      <c r="G15" s="260"/>
      <c r="H15" s="260"/>
      <c r="I15" s="260"/>
      <c r="J15" s="260"/>
      <c r="K15" s="260"/>
      <c r="L15" s="260"/>
      <c r="M15" s="260"/>
      <c r="N15" s="260"/>
      <c r="O15" s="260"/>
      <c r="P15" s="260"/>
      <c r="Q15" s="260"/>
      <c r="R15" s="260"/>
      <c r="S15" s="260"/>
      <c r="T15" s="267"/>
      <c r="U15" s="269" t="s">
        <v>497</v>
      </c>
      <c r="V15" s="270"/>
      <c r="W15" s="270"/>
      <c r="X15" s="270"/>
      <c r="Y15" s="271"/>
      <c r="Z15" s="262">
        <v>2</v>
      </c>
      <c r="AA15" s="263"/>
      <c r="AB15" s="263"/>
      <c r="AC15" s="264"/>
      <c r="AD15" s="262">
        <v>5</v>
      </c>
      <c r="AE15" s="263"/>
      <c r="AF15" s="264"/>
      <c r="AG15" s="262">
        <f>Z15*AD15</f>
        <v>10</v>
      </c>
      <c r="AH15" s="263"/>
      <c r="AI15" s="264"/>
      <c r="AJ15" s="258" t="s">
        <v>486</v>
      </c>
      <c r="AK15" s="265"/>
      <c r="AL15" s="261"/>
      <c r="AM15" s="261"/>
      <c r="AN15" s="261"/>
      <c r="AO15" s="259"/>
      <c r="AP15" s="266"/>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0"/>
      <c r="BU15" s="260"/>
      <c r="BV15" s="267"/>
      <c r="BW15" s="258" t="s">
        <v>80</v>
      </c>
      <c r="BX15" s="261"/>
      <c r="BY15" s="261"/>
      <c r="BZ15" s="259"/>
      <c r="CA15" s="269" t="s">
        <v>488</v>
      </c>
      <c r="CB15" s="270"/>
      <c r="CC15" s="270"/>
      <c r="CD15" s="271"/>
      <c r="CE15" s="258" t="s">
        <v>489</v>
      </c>
      <c r="CF15" s="261"/>
      <c r="CG15" s="261"/>
      <c r="CH15" s="259"/>
    </row>
    <row r="16" ht="14.25">
      <c r="B16" s="258" t="s">
        <v>519</v>
      </c>
      <c r="C16" s="259"/>
      <c r="D16" s="268" t="s">
        <v>520</v>
      </c>
      <c r="E16" s="260"/>
      <c r="F16" s="260"/>
      <c r="G16" s="260"/>
      <c r="H16" s="260"/>
      <c r="I16" s="260"/>
      <c r="J16" s="260"/>
      <c r="K16" s="260"/>
      <c r="L16" s="260"/>
      <c r="M16" s="260"/>
      <c r="N16" s="260"/>
      <c r="O16" s="260"/>
      <c r="P16" s="260"/>
      <c r="Q16" s="260"/>
      <c r="R16" s="260"/>
      <c r="S16" s="260"/>
      <c r="T16" s="267"/>
      <c r="U16" s="269" t="s">
        <v>25</v>
      </c>
      <c r="V16" s="270"/>
      <c r="W16" s="270"/>
      <c r="X16" s="270"/>
      <c r="Y16" s="271"/>
      <c r="Z16" s="262">
        <v>4</v>
      </c>
      <c r="AA16" s="263"/>
      <c r="AB16" s="263"/>
      <c r="AC16" s="264"/>
      <c r="AD16" s="262">
        <v>3</v>
      </c>
      <c r="AE16" s="263"/>
      <c r="AF16" s="264"/>
      <c r="AG16" s="262">
        <f>Z16*AD16</f>
        <v>12</v>
      </c>
      <c r="AH16" s="263"/>
      <c r="AI16" s="264"/>
      <c r="AJ16" s="258" t="s">
        <v>486</v>
      </c>
      <c r="AK16" s="265"/>
      <c r="AL16" s="261"/>
      <c r="AM16" s="261"/>
      <c r="AN16" s="261"/>
      <c r="AO16" s="259"/>
      <c r="AP16" s="268" t="s">
        <v>521</v>
      </c>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7"/>
      <c r="BW16" s="269" t="s">
        <v>30</v>
      </c>
      <c r="BX16" s="270"/>
      <c r="BY16" s="270"/>
      <c r="BZ16" s="271"/>
      <c r="CA16" s="269" t="s">
        <v>488</v>
      </c>
      <c r="CB16" s="270"/>
      <c r="CC16" s="270"/>
      <c r="CD16" s="271"/>
      <c r="CE16" s="258" t="s">
        <v>489</v>
      </c>
      <c r="CF16" s="261"/>
      <c r="CG16" s="261"/>
      <c r="CH16" s="259"/>
    </row>
    <row r="19" ht="14.25">
      <c r="B19" s="272" t="s">
        <v>522</v>
      </c>
      <c r="C19" s="273"/>
      <c r="D19" s="273"/>
      <c r="E19" s="273"/>
      <c r="F19" s="273"/>
      <c r="G19" s="273"/>
      <c r="H19" s="273"/>
      <c r="I19" s="273"/>
      <c r="J19" s="273"/>
      <c r="K19" s="273"/>
      <c r="L19" s="273"/>
      <c r="M19" s="273"/>
      <c r="N19" s="273"/>
      <c r="O19" s="273"/>
      <c r="P19" s="273"/>
      <c r="Q19" s="273"/>
      <c r="R19" s="273"/>
      <c r="S19" s="273"/>
      <c r="T19" s="274"/>
      <c r="Z19" s="272" t="s">
        <v>523</v>
      </c>
      <c r="AA19" s="273"/>
      <c r="AB19" s="273"/>
      <c r="AC19" s="273"/>
      <c r="AD19" s="273"/>
      <c r="AE19" s="273"/>
      <c r="AF19" s="273"/>
      <c r="AG19" s="273"/>
      <c r="AH19" s="273"/>
      <c r="AI19" s="273"/>
      <c r="AJ19" s="273"/>
      <c r="AK19" s="273"/>
      <c r="AL19" s="273"/>
      <c r="AM19" s="273"/>
      <c r="AN19" s="273"/>
      <c r="AO19" s="273"/>
      <c r="AP19" s="273"/>
      <c r="AQ19" s="273"/>
      <c r="AR19" s="274"/>
      <c r="AW19" s="275" t="s">
        <v>524</v>
      </c>
      <c r="AX19" s="276"/>
      <c r="AY19" s="276"/>
      <c r="AZ19" s="276"/>
      <c r="BA19" s="276"/>
      <c r="BB19" s="276"/>
      <c r="BC19" s="276"/>
      <c r="BD19" s="276"/>
      <c r="BE19" s="276"/>
      <c r="BF19" s="276"/>
      <c r="BG19" s="276"/>
      <c r="BH19" s="276"/>
      <c r="BI19" s="276"/>
      <c r="BJ19" s="276"/>
      <c r="BK19" s="276"/>
      <c r="BL19" s="276"/>
      <c r="BM19" s="276"/>
      <c r="BN19" s="276"/>
      <c r="BO19" s="277"/>
    </row>
    <row r="20" ht="14.25">
      <c r="B20" s="278"/>
      <c r="C20" s="279"/>
      <c r="D20" s="279"/>
      <c r="E20" s="279"/>
      <c r="F20" s="279"/>
      <c r="G20" s="279"/>
      <c r="H20" s="279"/>
      <c r="I20" s="279"/>
      <c r="J20" s="279"/>
      <c r="K20" s="279"/>
      <c r="L20" s="279"/>
      <c r="M20" s="279"/>
      <c r="N20" s="279"/>
      <c r="O20" s="279"/>
      <c r="P20" s="279"/>
      <c r="Q20" s="279"/>
      <c r="R20" s="279"/>
      <c r="S20" s="279"/>
      <c r="T20" s="280"/>
      <c r="Z20" s="278"/>
      <c r="AA20" s="279"/>
      <c r="AB20" s="279"/>
      <c r="AC20" s="279"/>
      <c r="AD20" s="279"/>
      <c r="AE20" s="279"/>
      <c r="AF20" s="279"/>
      <c r="AG20" s="279"/>
      <c r="AH20" s="279"/>
      <c r="AI20" s="279"/>
      <c r="AJ20" s="279"/>
      <c r="AK20" s="279"/>
      <c r="AL20" s="279"/>
      <c r="AM20" s="279"/>
      <c r="AN20" s="279"/>
      <c r="AO20" s="279"/>
      <c r="AP20" s="279"/>
      <c r="AQ20" s="279"/>
      <c r="AR20" s="280"/>
      <c r="AW20" s="281"/>
      <c r="AX20" s="181"/>
      <c r="AY20" s="181"/>
      <c r="AZ20" s="181"/>
      <c r="BA20" s="181"/>
      <c r="BB20" s="181"/>
      <c r="BC20" s="181"/>
      <c r="BD20" s="181"/>
      <c r="BE20" s="181"/>
      <c r="BF20" s="181"/>
      <c r="BG20" s="181"/>
      <c r="BH20" s="181"/>
      <c r="BI20" s="181"/>
      <c r="BJ20" s="181"/>
      <c r="BK20" s="181"/>
      <c r="BL20" s="181"/>
      <c r="BM20" s="181"/>
      <c r="BN20" s="181"/>
      <c r="BO20" s="282"/>
    </row>
    <row r="21" ht="14.25">
      <c r="B21" s="278"/>
      <c r="C21" s="279"/>
      <c r="D21" s="279"/>
      <c r="E21" s="279"/>
      <c r="F21" s="279"/>
      <c r="G21" s="279"/>
      <c r="H21" s="279"/>
      <c r="I21" s="279"/>
      <c r="J21" s="279"/>
      <c r="K21" s="279"/>
      <c r="L21" s="279"/>
      <c r="M21" s="279"/>
      <c r="N21" s="279"/>
      <c r="O21" s="279"/>
      <c r="P21" s="279"/>
      <c r="Q21" s="279"/>
      <c r="R21" s="279"/>
      <c r="S21" s="279"/>
      <c r="T21" s="280"/>
      <c r="Z21" s="278"/>
      <c r="AA21" s="279"/>
      <c r="AB21" s="279"/>
      <c r="AC21" s="279"/>
      <c r="AD21" s="279"/>
      <c r="AE21" s="279"/>
      <c r="AF21" s="279"/>
      <c r="AG21" s="279"/>
      <c r="AH21" s="279"/>
      <c r="AI21" s="279"/>
      <c r="AJ21" s="279"/>
      <c r="AK21" s="279"/>
      <c r="AL21" s="279"/>
      <c r="AM21" s="279"/>
      <c r="AN21" s="279"/>
      <c r="AO21" s="279"/>
      <c r="AP21" s="279"/>
      <c r="AQ21" s="279"/>
      <c r="AR21" s="280"/>
      <c r="AW21" s="281"/>
      <c r="AX21" s="181"/>
      <c r="AY21" s="181"/>
      <c r="AZ21" s="181"/>
      <c r="BA21" s="181"/>
      <c r="BB21" s="181"/>
      <c r="BC21" s="181"/>
      <c r="BD21" s="181"/>
      <c r="BE21" s="181"/>
      <c r="BF21" s="181"/>
      <c r="BG21" s="181"/>
      <c r="BH21" s="181"/>
      <c r="BI21" s="181"/>
      <c r="BJ21" s="181"/>
      <c r="BK21" s="181"/>
      <c r="BL21" s="181"/>
      <c r="BM21" s="181"/>
      <c r="BN21" s="181"/>
      <c r="BO21" s="282"/>
    </row>
    <row r="22" ht="14.25">
      <c r="B22" s="278"/>
      <c r="C22" s="279"/>
      <c r="D22" s="279"/>
      <c r="E22" s="279"/>
      <c r="F22" s="279"/>
      <c r="G22" s="279"/>
      <c r="H22" s="279"/>
      <c r="I22" s="279"/>
      <c r="J22" s="279"/>
      <c r="K22" s="279"/>
      <c r="L22" s="279"/>
      <c r="M22" s="279"/>
      <c r="N22" s="279"/>
      <c r="O22" s="279"/>
      <c r="P22" s="279"/>
      <c r="Q22" s="279"/>
      <c r="R22" s="279"/>
      <c r="S22" s="279"/>
      <c r="T22" s="280"/>
      <c r="Z22" s="278"/>
      <c r="AA22" s="279"/>
      <c r="AB22" s="279"/>
      <c r="AC22" s="279"/>
      <c r="AD22" s="279"/>
      <c r="AE22" s="279"/>
      <c r="AF22" s="279"/>
      <c r="AG22" s="279"/>
      <c r="AH22" s="279"/>
      <c r="AI22" s="279"/>
      <c r="AJ22" s="279"/>
      <c r="AK22" s="279"/>
      <c r="AL22" s="279"/>
      <c r="AM22" s="279"/>
      <c r="AN22" s="279"/>
      <c r="AO22" s="279"/>
      <c r="AP22" s="279"/>
      <c r="AQ22" s="279"/>
      <c r="AR22" s="280"/>
      <c r="AW22" s="281"/>
      <c r="AX22" s="181"/>
      <c r="AY22" s="181"/>
      <c r="AZ22" s="181"/>
      <c r="BA22" s="181"/>
      <c r="BB22" s="181"/>
      <c r="BC22" s="181"/>
      <c r="BD22" s="181"/>
      <c r="BE22" s="181"/>
      <c r="BF22" s="181"/>
      <c r="BG22" s="181"/>
      <c r="BH22" s="181"/>
      <c r="BI22" s="181"/>
      <c r="BJ22" s="181"/>
      <c r="BK22" s="181"/>
      <c r="BL22" s="181"/>
      <c r="BM22" s="181"/>
      <c r="BN22" s="181"/>
      <c r="BO22" s="282"/>
    </row>
    <row r="23" ht="14.25">
      <c r="B23" s="278"/>
      <c r="C23" s="279"/>
      <c r="D23" s="279"/>
      <c r="E23" s="279"/>
      <c r="F23" s="279"/>
      <c r="G23" s="279"/>
      <c r="H23" s="279"/>
      <c r="I23" s="279"/>
      <c r="J23" s="279"/>
      <c r="K23" s="279"/>
      <c r="L23" s="279"/>
      <c r="M23" s="279"/>
      <c r="N23" s="279"/>
      <c r="O23" s="279"/>
      <c r="P23" s="279"/>
      <c r="Q23" s="279"/>
      <c r="R23" s="279"/>
      <c r="S23" s="279"/>
      <c r="T23" s="280"/>
      <c r="Z23" s="278"/>
      <c r="AA23" s="279"/>
      <c r="AB23" s="279"/>
      <c r="AC23" s="279"/>
      <c r="AD23" s="279"/>
      <c r="AE23" s="279"/>
      <c r="AF23" s="279"/>
      <c r="AG23" s="279"/>
      <c r="AH23" s="279"/>
      <c r="AI23" s="279"/>
      <c r="AJ23" s="279"/>
      <c r="AK23" s="279"/>
      <c r="AL23" s="279"/>
      <c r="AM23" s="279"/>
      <c r="AN23" s="279"/>
      <c r="AO23" s="279"/>
      <c r="AP23" s="279"/>
      <c r="AQ23" s="279"/>
      <c r="AR23" s="280"/>
      <c r="AW23" s="281"/>
      <c r="AX23" s="181"/>
      <c r="AY23" s="181"/>
      <c r="AZ23" s="181"/>
      <c r="BA23" s="181"/>
      <c r="BB23" s="181"/>
      <c r="BC23" s="181"/>
      <c r="BD23" s="181"/>
      <c r="BE23" s="181"/>
      <c r="BF23" s="181"/>
      <c r="BG23" s="181"/>
      <c r="BH23" s="181"/>
      <c r="BI23" s="181"/>
      <c r="BJ23" s="181"/>
      <c r="BK23" s="181"/>
      <c r="BL23" s="181"/>
      <c r="BM23" s="181"/>
      <c r="BN23" s="181"/>
      <c r="BO23" s="282"/>
    </row>
    <row r="24" ht="14.25">
      <c r="B24" s="278"/>
      <c r="C24" s="279"/>
      <c r="D24" s="279"/>
      <c r="E24" s="279"/>
      <c r="F24" s="279"/>
      <c r="G24" s="279"/>
      <c r="H24" s="279"/>
      <c r="I24" s="279"/>
      <c r="J24" s="279"/>
      <c r="K24" s="279"/>
      <c r="L24" s="279"/>
      <c r="M24" s="279"/>
      <c r="N24" s="279"/>
      <c r="O24" s="279"/>
      <c r="P24" s="279"/>
      <c r="Q24" s="279"/>
      <c r="R24" s="279"/>
      <c r="S24" s="279"/>
      <c r="T24" s="280"/>
      <c r="Z24" s="278"/>
      <c r="AA24" s="279"/>
      <c r="AB24" s="279"/>
      <c r="AC24" s="279"/>
      <c r="AD24" s="279"/>
      <c r="AE24" s="279"/>
      <c r="AF24" s="279"/>
      <c r="AG24" s="279"/>
      <c r="AH24" s="279"/>
      <c r="AI24" s="279"/>
      <c r="AJ24" s="279"/>
      <c r="AK24" s="279"/>
      <c r="AL24" s="279"/>
      <c r="AM24" s="279"/>
      <c r="AN24" s="279"/>
      <c r="AO24" s="279"/>
      <c r="AP24" s="279"/>
      <c r="AQ24" s="279"/>
      <c r="AR24" s="280"/>
      <c r="AW24" s="281"/>
      <c r="AX24" s="181"/>
      <c r="AY24" s="181"/>
      <c r="AZ24" s="181"/>
      <c r="BA24" s="181"/>
      <c r="BB24" s="181"/>
      <c r="BC24" s="181"/>
      <c r="BD24" s="181"/>
      <c r="BE24" s="181"/>
      <c r="BF24" s="181"/>
      <c r="BG24" s="181"/>
      <c r="BH24" s="181"/>
      <c r="BI24" s="181"/>
      <c r="BJ24" s="181"/>
      <c r="BK24" s="181"/>
      <c r="BL24" s="181"/>
      <c r="BM24" s="181"/>
      <c r="BN24" s="181"/>
      <c r="BO24" s="282"/>
    </row>
    <row r="25" ht="14.25">
      <c r="B25" s="278"/>
      <c r="C25" s="279"/>
      <c r="D25" s="279"/>
      <c r="E25" s="279"/>
      <c r="F25" s="279"/>
      <c r="G25" s="279"/>
      <c r="H25" s="279"/>
      <c r="I25" s="279"/>
      <c r="J25" s="279"/>
      <c r="K25" s="279"/>
      <c r="L25" s="279"/>
      <c r="M25" s="279"/>
      <c r="N25" s="279"/>
      <c r="O25" s="279"/>
      <c r="P25" s="279"/>
      <c r="Q25" s="279"/>
      <c r="R25" s="279"/>
      <c r="S25" s="279"/>
      <c r="T25" s="280"/>
      <c r="Z25" s="278"/>
      <c r="AA25" s="279"/>
      <c r="AB25" s="279"/>
      <c r="AC25" s="279"/>
      <c r="AD25" s="279"/>
      <c r="AE25" s="279"/>
      <c r="AF25" s="279"/>
      <c r="AG25" s="279"/>
      <c r="AH25" s="279"/>
      <c r="AI25" s="279"/>
      <c r="AJ25" s="279"/>
      <c r="AK25" s="279"/>
      <c r="AL25" s="279"/>
      <c r="AM25" s="279"/>
      <c r="AN25" s="279"/>
      <c r="AO25" s="279"/>
      <c r="AP25" s="279"/>
      <c r="AQ25" s="279"/>
      <c r="AR25" s="280"/>
      <c r="AW25" s="281"/>
      <c r="AX25" s="181"/>
      <c r="AY25" s="181"/>
      <c r="AZ25" s="181"/>
      <c r="BA25" s="181"/>
      <c r="BB25" s="181"/>
      <c r="BC25" s="181"/>
      <c r="BD25" s="181"/>
      <c r="BE25" s="181"/>
      <c r="BF25" s="181"/>
      <c r="BG25" s="181"/>
      <c r="BH25" s="181"/>
      <c r="BI25" s="181"/>
      <c r="BJ25" s="181"/>
      <c r="BK25" s="181"/>
      <c r="BL25" s="181"/>
      <c r="BM25" s="181"/>
      <c r="BN25" s="181"/>
      <c r="BO25" s="282"/>
    </row>
    <row r="26" ht="14.25">
      <c r="B26" s="278"/>
      <c r="C26" s="279"/>
      <c r="D26" s="279"/>
      <c r="E26" s="279"/>
      <c r="F26" s="279"/>
      <c r="G26" s="279"/>
      <c r="H26" s="279"/>
      <c r="I26" s="279"/>
      <c r="J26" s="279"/>
      <c r="K26" s="279"/>
      <c r="L26" s="279"/>
      <c r="M26" s="279"/>
      <c r="N26" s="279"/>
      <c r="O26" s="279"/>
      <c r="P26" s="279"/>
      <c r="Q26" s="279"/>
      <c r="R26" s="279"/>
      <c r="S26" s="279"/>
      <c r="T26" s="280"/>
      <c r="Z26" s="278"/>
      <c r="AA26" s="279"/>
      <c r="AB26" s="279"/>
      <c r="AC26" s="279"/>
      <c r="AD26" s="279"/>
      <c r="AE26" s="279"/>
      <c r="AF26" s="279"/>
      <c r="AG26" s="279"/>
      <c r="AH26" s="279"/>
      <c r="AI26" s="279"/>
      <c r="AJ26" s="279"/>
      <c r="AK26" s="279"/>
      <c r="AL26" s="279"/>
      <c r="AM26" s="279"/>
      <c r="AN26" s="279"/>
      <c r="AO26" s="279"/>
      <c r="AP26" s="279"/>
      <c r="AQ26" s="279"/>
      <c r="AR26" s="280"/>
      <c r="AW26" s="281"/>
      <c r="AX26" s="181"/>
      <c r="AY26" s="181"/>
      <c r="AZ26" s="181"/>
      <c r="BA26" s="181"/>
      <c r="BB26" s="181"/>
      <c r="BC26" s="181"/>
      <c r="BD26" s="181"/>
      <c r="BE26" s="181"/>
      <c r="BF26" s="181"/>
      <c r="BG26" s="181"/>
      <c r="BH26" s="181"/>
      <c r="BI26" s="181"/>
      <c r="BJ26" s="181"/>
      <c r="BK26" s="181"/>
      <c r="BL26" s="181"/>
      <c r="BM26" s="181"/>
      <c r="BN26" s="181"/>
      <c r="BO26" s="282"/>
    </row>
    <row r="27" ht="14.25">
      <c r="B27" s="278"/>
      <c r="C27" s="279"/>
      <c r="D27" s="279"/>
      <c r="E27" s="279"/>
      <c r="F27" s="279"/>
      <c r="G27" s="279"/>
      <c r="H27" s="279"/>
      <c r="I27" s="279"/>
      <c r="J27" s="279"/>
      <c r="K27" s="279"/>
      <c r="L27" s="279"/>
      <c r="M27" s="279"/>
      <c r="N27" s="279"/>
      <c r="O27" s="279"/>
      <c r="P27" s="279"/>
      <c r="Q27" s="279"/>
      <c r="R27" s="279"/>
      <c r="S27" s="279"/>
      <c r="T27" s="280"/>
      <c r="Z27" s="278"/>
      <c r="AA27" s="279"/>
      <c r="AB27" s="279"/>
      <c r="AC27" s="279"/>
      <c r="AD27" s="279"/>
      <c r="AE27" s="279"/>
      <c r="AF27" s="279"/>
      <c r="AG27" s="279"/>
      <c r="AH27" s="279"/>
      <c r="AI27" s="279"/>
      <c r="AJ27" s="279"/>
      <c r="AK27" s="279"/>
      <c r="AL27" s="279"/>
      <c r="AM27" s="279"/>
      <c r="AN27" s="279"/>
      <c r="AO27" s="279"/>
      <c r="AP27" s="279"/>
      <c r="AQ27" s="279"/>
      <c r="AR27" s="280"/>
      <c r="AW27" s="281"/>
      <c r="AX27" s="181"/>
      <c r="AY27" s="181"/>
      <c r="AZ27" s="181"/>
      <c r="BA27" s="181"/>
      <c r="BB27" s="181"/>
      <c r="BC27" s="181"/>
      <c r="BD27" s="181"/>
      <c r="BE27" s="181"/>
      <c r="BF27" s="181"/>
      <c r="BG27" s="181"/>
      <c r="BH27" s="181"/>
      <c r="BI27" s="181"/>
      <c r="BJ27" s="181"/>
      <c r="BK27" s="181"/>
      <c r="BL27" s="181"/>
      <c r="BM27" s="181"/>
      <c r="BN27" s="181"/>
      <c r="BO27" s="282"/>
    </row>
    <row r="28" ht="14.25">
      <c r="B28" s="278"/>
      <c r="C28" s="279"/>
      <c r="D28" s="279"/>
      <c r="E28" s="279"/>
      <c r="F28" s="279"/>
      <c r="G28" s="279"/>
      <c r="H28" s="279"/>
      <c r="I28" s="279"/>
      <c r="J28" s="279"/>
      <c r="K28" s="279"/>
      <c r="L28" s="279"/>
      <c r="M28" s="279"/>
      <c r="N28" s="279"/>
      <c r="O28" s="279"/>
      <c r="P28" s="279"/>
      <c r="Q28" s="279"/>
      <c r="R28" s="279"/>
      <c r="S28" s="279"/>
      <c r="T28" s="280"/>
      <c r="Z28" s="278"/>
      <c r="AA28" s="279"/>
      <c r="AB28" s="279"/>
      <c r="AC28" s="279"/>
      <c r="AD28" s="279"/>
      <c r="AE28" s="279"/>
      <c r="AF28" s="279"/>
      <c r="AG28" s="279"/>
      <c r="AH28" s="279"/>
      <c r="AI28" s="279"/>
      <c r="AJ28" s="279"/>
      <c r="AK28" s="279"/>
      <c r="AL28" s="279"/>
      <c r="AM28" s="279"/>
      <c r="AN28" s="279"/>
      <c r="AO28" s="279"/>
      <c r="AP28" s="279"/>
      <c r="AQ28" s="279"/>
      <c r="AR28" s="280"/>
      <c r="AW28" s="281"/>
      <c r="AX28" s="181"/>
      <c r="AY28" s="181"/>
      <c r="AZ28" s="181"/>
      <c r="BA28" s="181"/>
      <c r="BB28" s="181"/>
      <c r="BC28" s="181"/>
      <c r="BD28" s="181"/>
      <c r="BE28" s="181"/>
      <c r="BF28" s="181"/>
      <c r="BG28" s="181"/>
      <c r="BH28" s="181"/>
      <c r="BI28" s="181"/>
      <c r="BJ28" s="181"/>
      <c r="BK28" s="181"/>
      <c r="BL28" s="181"/>
      <c r="BM28" s="181"/>
      <c r="BN28" s="181"/>
      <c r="BO28" s="282"/>
    </row>
    <row r="29" ht="14.25">
      <c r="B29" s="278"/>
      <c r="C29" s="279"/>
      <c r="D29" s="279"/>
      <c r="E29" s="279"/>
      <c r="F29" s="279"/>
      <c r="G29" s="279"/>
      <c r="H29" s="279"/>
      <c r="I29" s="279"/>
      <c r="J29" s="279"/>
      <c r="K29" s="279"/>
      <c r="L29" s="279"/>
      <c r="M29" s="279"/>
      <c r="N29" s="279"/>
      <c r="O29" s="279"/>
      <c r="P29" s="279"/>
      <c r="Q29" s="279"/>
      <c r="R29" s="279"/>
      <c r="S29" s="279"/>
      <c r="T29" s="280"/>
      <c r="Z29" s="278"/>
      <c r="AA29" s="279"/>
      <c r="AB29" s="279"/>
      <c r="AC29" s="279"/>
      <c r="AD29" s="279"/>
      <c r="AE29" s="279"/>
      <c r="AF29" s="279"/>
      <c r="AG29" s="279"/>
      <c r="AH29" s="279"/>
      <c r="AI29" s="279"/>
      <c r="AJ29" s="279"/>
      <c r="AK29" s="279"/>
      <c r="AL29" s="279"/>
      <c r="AM29" s="279"/>
      <c r="AN29" s="279"/>
      <c r="AO29" s="279"/>
      <c r="AP29" s="279"/>
      <c r="AQ29" s="279"/>
      <c r="AR29" s="280"/>
      <c r="AW29" s="281"/>
      <c r="AX29" s="181"/>
      <c r="AY29" s="181"/>
      <c r="AZ29" s="181"/>
      <c r="BA29" s="181"/>
      <c r="BB29" s="181"/>
      <c r="BC29" s="181"/>
      <c r="BD29" s="181"/>
      <c r="BE29" s="181"/>
      <c r="BF29" s="181"/>
      <c r="BG29" s="181"/>
      <c r="BH29" s="181"/>
      <c r="BI29" s="181"/>
      <c r="BJ29" s="181"/>
      <c r="BK29" s="181"/>
      <c r="BL29" s="181"/>
      <c r="BM29" s="181"/>
      <c r="BN29" s="181"/>
      <c r="BO29" s="282"/>
    </row>
    <row r="30" ht="14.25">
      <c r="B30" s="278"/>
      <c r="C30" s="279"/>
      <c r="D30" s="279"/>
      <c r="E30" s="279"/>
      <c r="F30" s="279"/>
      <c r="G30" s="279"/>
      <c r="H30" s="279"/>
      <c r="I30" s="279"/>
      <c r="J30" s="279"/>
      <c r="K30" s="279"/>
      <c r="L30" s="279"/>
      <c r="M30" s="279"/>
      <c r="N30" s="279"/>
      <c r="O30" s="279"/>
      <c r="P30" s="279"/>
      <c r="Q30" s="279"/>
      <c r="R30" s="279"/>
      <c r="S30" s="279"/>
      <c r="T30" s="280"/>
      <c r="Z30" s="278"/>
      <c r="AA30" s="279"/>
      <c r="AB30" s="279"/>
      <c r="AC30" s="279"/>
      <c r="AD30" s="279"/>
      <c r="AE30" s="279"/>
      <c r="AF30" s="279"/>
      <c r="AG30" s="279"/>
      <c r="AH30" s="279"/>
      <c r="AI30" s="279"/>
      <c r="AJ30" s="279"/>
      <c r="AK30" s="279"/>
      <c r="AL30" s="279"/>
      <c r="AM30" s="279"/>
      <c r="AN30" s="279"/>
      <c r="AO30" s="279"/>
      <c r="AP30" s="279"/>
      <c r="AQ30" s="279"/>
      <c r="AR30" s="280"/>
      <c r="AW30" s="281"/>
      <c r="AX30" s="181"/>
      <c r="AY30" s="181"/>
      <c r="AZ30" s="181"/>
      <c r="BA30" s="181"/>
      <c r="BB30" s="181"/>
      <c r="BC30" s="181"/>
      <c r="BD30" s="181"/>
      <c r="BE30" s="181"/>
      <c r="BF30" s="181"/>
      <c r="BG30" s="181"/>
      <c r="BH30" s="181"/>
      <c r="BI30" s="181"/>
      <c r="BJ30" s="181"/>
      <c r="BK30" s="181"/>
      <c r="BL30" s="181"/>
      <c r="BM30" s="181"/>
      <c r="BN30" s="181"/>
      <c r="BO30" s="282"/>
    </row>
    <row r="31" ht="14.25">
      <c r="B31" s="278"/>
      <c r="C31" s="279"/>
      <c r="D31" s="279"/>
      <c r="E31" s="279"/>
      <c r="F31" s="279"/>
      <c r="G31" s="279"/>
      <c r="H31" s="279"/>
      <c r="I31" s="279"/>
      <c r="J31" s="279"/>
      <c r="K31" s="279"/>
      <c r="L31" s="279"/>
      <c r="M31" s="279"/>
      <c r="N31" s="279"/>
      <c r="O31" s="279"/>
      <c r="P31" s="279"/>
      <c r="Q31" s="279"/>
      <c r="R31" s="279"/>
      <c r="S31" s="279"/>
      <c r="T31" s="280"/>
      <c r="Z31" s="278"/>
      <c r="AA31" s="279"/>
      <c r="AB31" s="279"/>
      <c r="AC31" s="279"/>
      <c r="AD31" s="279"/>
      <c r="AE31" s="279"/>
      <c r="AF31" s="279"/>
      <c r="AG31" s="279"/>
      <c r="AH31" s="279"/>
      <c r="AI31" s="279"/>
      <c r="AJ31" s="279"/>
      <c r="AK31" s="279"/>
      <c r="AL31" s="279"/>
      <c r="AM31" s="279"/>
      <c r="AN31" s="279"/>
      <c r="AO31" s="279"/>
      <c r="AP31" s="279"/>
      <c r="AQ31" s="279"/>
      <c r="AR31" s="280"/>
      <c r="AW31" s="281"/>
      <c r="AX31" s="181"/>
      <c r="AY31" s="181"/>
      <c r="AZ31" s="181"/>
      <c r="BA31" s="181"/>
      <c r="BB31" s="181"/>
      <c r="BC31" s="181"/>
      <c r="BD31" s="181"/>
      <c r="BE31" s="181"/>
      <c r="BF31" s="181"/>
      <c r="BG31" s="181"/>
      <c r="BH31" s="181"/>
      <c r="BI31" s="181"/>
      <c r="BJ31" s="181"/>
      <c r="BK31" s="181"/>
      <c r="BL31" s="181"/>
      <c r="BM31" s="181"/>
      <c r="BN31" s="181"/>
      <c r="BO31" s="282"/>
    </row>
    <row r="32" ht="14.25">
      <c r="B32" s="278"/>
      <c r="C32" s="279"/>
      <c r="D32" s="279"/>
      <c r="E32" s="279"/>
      <c r="F32" s="279"/>
      <c r="G32" s="279"/>
      <c r="H32" s="279"/>
      <c r="I32" s="279"/>
      <c r="J32" s="279"/>
      <c r="K32" s="279"/>
      <c r="L32" s="279"/>
      <c r="M32" s="279"/>
      <c r="N32" s="279"/>
      <c r="O32" s="279"/>
      <c r="P32" s="279"/>
      <c r="Q32" s="279"/>
      <c r="R32" s="279"/>
      <c r="S32" s="279"/>
      <c r="T32" s="280"/>
      <c r="Z32" s="278"/>
      <c r="AA32" s="279"/>
      <c r="AB32" s="279"/>
      <c r="AC32" s="279"/>
      <c r="AD32" s="279"/>
      <c r="AE32" s="279"/>
      <c r="AF32" s="279"/>
      <c r="AG32" s="279"/>
      <c r="AH32" s="279"/>
      <c r="AI32" s="279"/>
      <c r="AJ32" s="279"/>
      <c r="AK32" s="279"/>
      <c r="AL32" s="279"/>
      <c r="AM32" s="279"/>
      <c r="AN32" s="279"/>
      <c r="AO32" s="279"/>
      <c r="AP32" s="279"/>
      <c r="AQ32" s="279"/>
      <c r="AR32" s="280"/>
      <c r="AW32" s="281"/>
      <c r="AX32" s="181"/>
      <c r="AY32" s="181"/>
      <c r="AZ32" s="181"/>
      <c r="BA32" s="181"/>
      <c r="BB32" s="181"/>
      <c r="BC32" s="181"/>
      <c r="BD32" s="181"/>
      <c r="BE32" s="181"/>
      <c r="BF32" s="181"/>
      <c r="BG32" s="181"/>
      <c r="BH32" s="181"/>
      <c r="BI32" s="181"/>
      <c r="BJ32" s="181"/>
      <c r="BK32" s="181"/>
      <c r="BL32" s="181"/>
      <c r="BM32" s="181"/>
      <c r="BN32" s="181"/>
      <c r="BO32" s="282"/>
    </row>
    <row r="33" ht="14.25">
      <c r="B33" s="278"/>
      <c r="C33" s="279"/>
      <c r="D33" s="279"/>
      <c r="E33" s="279"/>
      <c r="F33" s="279"/>
      <c r="G33" s="279"/>
      <c r="H33" s="279"/>
      <c r="I33" s="279"/>
      <c r="J33" s="279"/>
      <c r="K33" s="279"/>
      <c r="L33" s="279"/>
      <c r="M33" s="279"/>
      <c r="N33" s="279"/>
      <c r="O33" s="279"/>
      <c r="P33" s="279"/>
      <c r="Q33" s="279"/>
      <c r="R33" s="279"/>
      <c r="S33" s="279"/>
      <c r="T33" s="280"/>
      <c r="Z33" s="278"/>
      <c r="AA33" s="279"/>
      <c r="AB33" s="279"/>
      <c r="AC33" s="279"/>
      <c r="AD33" s="279"/>
      <c r="AE33" s="279"/>
      <c r="AF33" s="279"/>
      <c r="AG33" s="279"/>
      <c r="AH33" s="279"/>
      <c r="AI33" s="279"/>
      <c r="AJ33" s="279"/>
      <c r="AK33" s="279"/>
      <c r="AL33" s="279"/>
      <c r="AM33" s="279"/>
      <c r="AN33" s="279"/>
      <c r="AO33" s="279"/>
      <c r="AP33" s="279"/>
      <c r="AQ33" s="279"/>
      <c r="AR33" s="280"/>
      <c r="AW33" s="281"/>
      <c r="AX33" s="181"/>
      <c r="AY33" s="181"/>
      <c r="AZ33" s="181"/>
      <c r="BA33" s="181"/>
      <c r="BB33" s="181"/>
      <c r="BC33" s="181"/>
      <c r="BD33" s="181"/>
      <c r="BE33" s="181"/>
      <c r="BF33" s="181"/>
      <c r="BG33" s="181"/>
      <c r="BH33" s="181"/>
      <c r="BI33" s="181"/>
      <c r="BJ33" s="181"/>
      <c r="BK33" s="181"/>
      <c r="BL33" s="181"/>
      <c r="BM33" s="181"/>
      <c r="BN33" s="181"/>
      <c r="BO33" s="282"/>
    </row>
    <row r="34" ht="14.25">
      <c r="B34" s="278"/>
      <c r="C34" s="279"/>
      <c r="D34" s="279"/>
      <c r="E34" s="279"/>
      <c r="F34" s="279"/>
      <c r="G34" s="279"/>
      <c r="H34" s="279"/>
      <c r="I34" s="279"/>
      <c r="J34" s="279"/>
      <c r="K34" s="279"/>
      <c r="L34" s="279"/>
      <c r="M34" s="279"/>
      <c r="N34" s="279"/>
      <c r="O34" s="279"/>
      <c r="P34" s="279"/>
      <c r="Q34" s="279"/>
      <c r="R34" s="279"/>
      <c r="S34" s="279"/>
      <c r="T34" s="280"/>
      <c r="Z34" s="278"/>
      <c r="AA34" s="279"/>
      <c r="AB34" s="279"/>
      <c r="AC34" s="279"/>
      <c r="AD34" s="279"/>
      <c r="AE34" s="279"/>
      <c r="AF34" s="279"/>
      <c r="AG34" s="279"/>
      <c r="AH34" s="279"/>
      <c r="AI34" s="279"/>
      <c r="AJ34" s="279"/>
      <c r="AK34" s="279"/>
      <c r="AL34" s="279"/>
      <c r="AM34" s="279"/>
      <c r="AN34" s="279"/>
      <c r="AO34" s="279"/>
      <c r="AP34" s="279"/>
      <c r="AQ34" s="279"/>
      <c r="AR34" s="280"/>
      <c r="AW34" s="281"/>
      <c r="AX34" s="181"/>
      <c r="AY34" s="181"/>
      <c r="AZ34" s="181"/>
      <c r="BA34" s="181"/>
      <c r="BB34" s="181"/>
      <c r="BC34" s="181"/>
      <c r="BD34" s="181"/>
      <c r="BE34" s="181"/>
      <c r="BF34" s="181"/>
      <c r="BG34" s="181"/>
      <c r="BH34" s="181"/>
      <c r="BI34" s="181"/>
      <c r="BJ34" s="181"/>
      <c r="BK34" s="181"/>
      <c r="BL34" s="181"/>
      <c r="BM34" s="181"/>
      <c r="BN34" s="181"/>
      <c r="BO34" s="282"/>
    </row>
    <row r="35" ht="14.25">
      <c r="B35" s="278"/>
      <c r="C35" s="279"/>
      <c r="D35" s="279"/>
      <c r="E35" s="279"/>
      <c r="F35" s="279"/>
      <c r="G35" s="279"/>
      <c r="H35" s="279"/>
      <c r="I35" s="279"/>
      <c r="J35" s="279"/>
      <c r="K35" s="279"/>
      <c r="L35" s="279"/>
      <c r="M35" s="279"/>
      <c r="N35" s="279"/>
      <c r="O35" s="279"/>
      <c r="P35" s="279"/>
      <c r="Q35" s="279"/>
      <c r="R35" s="279"/>
      <c r="S35" s="279"/>
      <c r="T35" s="280"/>
      <c r="Z35" s="278"/>
      <c r="AA35" s="279"/>
      <c r="AB35" s="279"/>
      <c r="AC35" s="279"/>
      <c r="AD35" s="279"/>
      <c r="AE35" s="279"/>
      <c r="AF35" s="279"/>
      <c r="AG35" s="279"/>
      <c r="AH35" s="279"/>
      <c r="AI35" s="279"/>
      <c r="AJ35" s="279"/>
      <c r="AK35" s="279"/>
      <c r="AL35" s="279"/>
      <c r="AM35" s="279"/>
      <c r="AN35" s="279"/>
      <c r="AO35" s="279"/>
      <c r="AP35" s="279"/>
      <c r="AQ35" s="279"/>
      <c r="AR35" s="280"/>
      <c r="AW35" s="281"/>
      <c r="AX35" s="181"/>
      <c r="AY35" s="181"/>
      <c r="AZ35" s="181"/>
      <c r="BA35" s="181"/>
      <c r="BB35" s="181"/>
      <c r="BC35" s="181"/>
      <c r="BD35" s="181"/>
      <c r="BE35" s="181"/>
      <c r="BF35" s="181"/>
      <c r="BG35" s="181"/>
      <c r="BH35" s="181"/>
      <c r="BI35" s="181"/>
      <c r="BJ35" s="181"/>
      <c r="BK35" s="181"/>
      <c r="BL35" s="181"/>
      <c r="BM35" s="181"/>
      <c r="BN35" s="181"/>
      <c r="BO35" s="282"/>
    </row>
    <row r="36" ht="14.25">
      <c r="B36" s="278"/>
      <c r="C36" s="279"/>
      <c r="D36" s="279"/>
      <c r="E36" s="279"/>
      <c r="F36" s="279"/>
      <c r="G36" s="279"/>
      <c r="H36" s="279"/>
      <c r="I36" s="279"/>
      <c r="J36" s="279"/>
      <c r="K36" s="279"/>
      <c r="L36" s="279"/>
      <c r="M36" s="279"/>
      <c r="N36" s="279"/>
      <c r="O36" s="279"/>
      <c r="P36" s="279"/>
      <c r="Q36" s="279"/>
      <c r="R36" s="279"/>
      <c r="S36" s="279"/>
      <c r="T36" s="280"/>
      <c r="Z36" s="278"/>
      <c r="AA36" s="279"/>
      <c r="AB36" s="279"/>
      <c r="AC36" s="279"/>
      <c r="AD36" s="279"/>
      <c r="AE36" s="279"/>
      <c r="AF36" s="279"/>
      <c r="AG36" s="279"/>
      <c r="AH36" s="279"/>
      <c r="AI36" s="279"/>
      <c r="AJ36" s="279"/>
      <c r="AK36" s="279"/>
      <c r="AL36" s="279"/>
      <c r="AM36" s="279"/>
      <c r="AN36" s="279"/>
      <c r="AO36" s="279"/>
      <c r="AP36" s="279"/>
      <c r="AQ36" s="279"/>
      <c r="AR36" s="280"/>
      <c r="AW36" s="281"/>
      <c r="AX36" s="181"/>
      <c r="AY36" s="181"/>
      <c r="AZ36" s="181"/>
      <c r="BA36" s="181"/>
      <c r="BB36" s="181"/>
      <c r="BC36" s="181"/>
      <c r="BD36" s="181"/>
      <c r="BE36" s="181"/>
      <c r="BF36" s="181"/>
      <c r="BG36" s="181"/>
      <c r="BH36" s="181"/>
      <c r="BI36" s="181"/>
      <c r="BJ36" s="181"/>
      <c r="BK36" s="181"/>
      <c r="BL36" s="181"/>
      <c r="BM36" s="181"/>
      <c r="BN36" s="181"/>
      <c r="BO36" s="282"/>
    </row>
    <row r="37" ht="14.25">
      <c r="B37" s="278"/>
      <c r="C37" s="279"/>
      <c r="D37" s="279"/>
      <c r="E37" s="279"/>
      <c r="F37" s="279"/>
      <c r="G37" s="279"/>
      <c r="H37" s="279"/>
      <c r="I37" s="279"/>
      <c r="J37" s="279"/>
      <c r="K37" s="279"/>
      <c r="L37" s="279"/>
      <c r="M37" s="279"/>
      <c r="N37" s="279"/>
      <c r="O37" s="279"/>
      <c r="P37" s="279"/>
      <c r="Q37" s="279"/>
      <c r="R37" s="279"/>
      <c r="S37" s="279"/>
      <c r="T37" s="280"/>
      <c r="Z37" s="278"/>
      <c r="AA37" s="279"/>
      <c r="AB37" s="279"/>
      <c r="AC37" s="279"/>
      <c r="AD37" s="279"/>
      <c r="AE37" s="279"/>
      <c r="AF37" s="279"/>
      <c r="AG37" s="279"/>
      <c r="AH37" s="279"/>
      <c r="AI37" s="279"/>
      <c r="AJ37" s="279"/>
      <c r="AK37" s="279"/>
      <c r="AL37" s="279"/>
      <c r="AM37" s="279"/>
      <c r="AN37" s="279"/>
      <c r="AO37" s="279"/>
      <c r="AP37" s="279"/>
      <c r="AQ37" s="279"/>
      <c r="AR37" s="280"/>
      <c r="AW37" s="281"/>
      <c r="AX37" s="181"/>
      <c r="AY37" s="181"/>
      <c r="AZ37" s="181"/>
      <c r="BA37" s="181"/>
      <c r="BB37" s="181"/>
      <c r="BC37" s="181"/>
      <c r="BD37" s="181"/>
      <c r="BE37" s="181"/>
      <c r="BF37" s="181"/>
      <c r="BG37" s="181"/>
      <c r="BH37" s="181"/>
      <c r="BI37" s="181"/>
      <c r="BJ37" s="181"/>
      <c r="BK37" s="181"/>
      <c r="BL37" s="181"/>
      <c r="BM37" s="181"/>
      <c r="BN37" s="181"/>
      <c r="BO37" s="282"/>
    </row>
    <row r="38" ht="14.25">
      <c r="B38" s="278"/>
      <c r="C38" s="279"/>
      <c r="D38" s="279"/>
      <c r="E38" s="279"/>
      <c r="F38" s="279"/>
      <c r="G38" s="279"/>
      <c r="H38" s="279"/>
      <c r="I38" s="279"/>
      <c r="J38" s="279"/>
      <c r="K38" s="279"/>
      <c r="L38" s="279"/>
      <c r="M38" s="279"/>
      <c r="N38" s="279"/>
      <c r="O38" s="279"/>
      <c r="P38" s="279"/>
      <c r="Q38" s="279"/>
      <c r="R38" s="279"/>
      <c r="S38" s="279"/>
      <c r="T38" s="280"/>
      <c r="Z38" s="278"/>
      <c r="AA38" s="279"/>
      <c r="AB38" s="279"/>
      <c r="AC38" s="279"/>
      <c r="AD38" s="279"/>
      <c r="AE38" s="279"/>
      <c r="AF38" s="279"/>
      <c r="AG38" s="279"/>
      <c r="AH38" s="279"/>
      <c r="AI38" s="279"/>
      <c r="AJ38" s="279"/>
      <c r="AK38" s="279"/>
      <c r="AL38" s="279"/>
      <c r="AM38" s="279"/>
      <c r="AN38" s="279"/>
      <c r="AO38" s="279"/>
      <c r="AP38" s="279"/>
      <c r="AQ38" s="279"/>
      <c r="AR38" s="280"/>
      <c r="AW38" s="281"/>
      <c r="AX38" s="181"/>
      <c r="AY38" s="181"/>
      <c r="AZ38" s="181"/>
      <c r="BA38" s="181"/>
      <c r="BB38" s="181"/>
      <c r="BC38" s="181"/>
      <c r="BD38" s="181"/>
      <c r="BE38" s="181"/>
      <c r="BF38" s="181"/>
      <c r="BG38" s="181"/>
      <c r="BH38" s="181"/>
      <c r="BI38" s="181"/>
      <c r="BJ38" s="181"/>
      <c r="BK38" s="181"/>
      <c r="BL38" s="181"/>
      <c r="BM38" s="181"/>
      <c r="BN38" s="181"/>
      <c r="BO38" s="282"/>
    </row>
    <row r="39" ht="14.25">
      <c r="B39" s="278"/>
      <c r="C39" s="279"/>
      <c r="D39" s="279"/>
      <c r="E39" s="279"/>
      <c r="F39" s="279"/>
      <c r="G39" s="279"/>
      <c r="H39" s="279"/>
      <c r="I39" s="279"/>
      <c r="J39" s="279"/>
      <c r="K39" s="279"/>
      <c r="L39" s="279"/>
      <c r="M39" s="279"/>
      <c r="N39" s="279"/>
      <c r="O39" s="279"/>
      <c r="P39" s="279"/>
      <c r="Q39" s="279"/>
      <c r="R39" s="279"/>
      <c r="S39" s="279"/>
      <c r="T39" s="280"/>
      <c r="Z39" s="278"/>
      <c r="AA39" s="279"/>
      <c r="AB39" s="279"/>
      <c r="AC39" s="279"/>
      <c r="AD39" s="279"/>
      <c r="AE39" s="279"/>
      <c r="AF39" s="279"/>
      <c r="AG39" s="279"/>
      <c r="AH39" s="279"/>
      <c r="AI39" s="279"/>
      <c r="AJ39" s="279"/>
      <c r="AK39" s="279"/>
      <c r="AL39" s="279"/>
      <c r="AM39" s="279"/>
      <c r="AN39" s="279"/>
      <c r="AO39" s="279"/>
      <c r="AP39" s="279"/>
      <c r="AQ39" s="279"/>
      <c r="AR39" s="280"/>
      <c r="AW39" s="281"/>
      <c r="AX39" s="181"/>
      <c r="AY39" s="181"/>
      <c r="AZ39" s="181"/>
      <c r="BA39" s="181"/>
      <c r="BB39" s="181"/>
      <c r="BC39" s="181"/>
      <c r="BD39" s="181"/>
      <c r="BE39" s="181"/>
      <c r="BF39" s="181"/>
      <c r="BG39" s="181"/>
      <c r="BH39" s="181"/>
      <c r="BI39" s="181"/>
      <c r="BJ39" s="181"/>
      <c r="BK39" s="181"/>
      <c r="BL39" s="181"/>
      <c r="BM39" s="181"/>
      <c r="BN39" s="181"/>
      <c r="BO39" s="282"/>
    </row>
    <row r="40" ht="14.25">
      <c r="B40" s="278"/>
      <c r="C40" s="279"/>
      <c r="D40" s="279"/>
      <c r="E40" s="279"/>
      <c r="F40" s="279"/>
      <c r="G40" s="279"/>
      <c r="H40" s="279"/>
      <c r="I40" s="279"/>
      <c r="J40" s="279"/>
      <c r="K40" s="279"/>
      <c r="L40" s="279"/>
      <c r="M40" s="279"/>
      <c r="N40" s="279"/>
      <c r="O40" s="279"/>
      <c r="P40" s="279"/>
      <c r="Q40" s="279"/>
      <c r="R40" s="279"/>
      <c r="S40" s="279"/>
      <c r="T40" s="280"/>
      <c r="Z40" s="278"/>
      <c r="AA40" s="279"/>
      <c r="AB40" s="279"/>
      <c r="AC40" s="279"/>
      <c r="AD40" s="279"/>
      <c r="AE40" s="279"/>
      <c r="AF40" s="279"/>
      <c r="AG40" s="279"/>
      <c r="AH40" s="279"/>
      <c r="AI40" s="279"/>
      <c r="AJ40" s="279"/>
      <c r="AK40" s="279"/>
      <c r="AL40" s="279"/>
      <c r="AM40" s="279"/>
      <c r="AN40" s="279"/>
      <c r="AO40" s="279"/>
      <c r="AP40" s="279"/>
      <c r="AQ40" s="279"/>
      <c r="AR40" s="280"/>
      <c r="AW40" s="281"/>
      <c r="AX40" s="181"/>
      <c r="AY40" s="181"/>
      <c r="AZ40" s="181"/>
      <c r="BA40" s="181"/>
      <c r="BB40" s="181"/>
      <c r="BC40" s="181"/>
      <c r="BD40" s="181"/>
      <c r="BE40" s="181"/>
      <c r="BF40" s="181"/>
      <c r="BG40" s="181"/>
      <c r="BH40" s="181"/>
      <c r="BI40" s="181"/>
      <c r="BJ40" s="181"/>
      <c r="BK40" s="181"/>
      <c r="BL40" s="181"/>
      <c r="BM40" s="181"/>
      <c r="BN40" s="181"/>
      <c r="BO40" s="282"/>
    </row>
    <row r="41" ht="14.25">
      <c r="B41" s="278"/>
      <c r="C41" s="279"/>
      <c r="D41" s="279"/>
      <c r="E41" s="279"/>
      <c r="F41" s="279"/>
      <c r="G41" s="279"/>
      <c r="H41" s="279"/>
      <c r="I41" s="279"/>
      <c r="J41" s="279"/>
      <c r="K41" s="279"/>
      <c r="L41" s="279"/>
      <c r="M41" s="279"/>
      <c r="N41" s="279"/>
      <c r="O41" s="279"/>
      <c r="P41" s="279"/>
      <c r="Q41" s="279"/>
      <c r="R41" s="279"/>
      <c r="S41" s="279"/>
      <c r="T41" s="280"/>
      <c r="Z41" s="278"/>
      <c r="AA41" s="279"/>
      <c r="AB41" s="279"/>
      <c r="AC41" s="279"/>
      <c r="AD41" s="279"/>
      <c r="AE41" s="279"/>
      <c r="AF41" s="279"/>
      <c r="AG41" s="279"/>
      <c r="AH41" s="279"/>
      <c r="AI41" s="279"/>
      <c r="AJ41" s="279"/>
      <c r="AK41" s="279"/>
      <c r="AL41" s="279"/>
      <c r="AM41" s="279"/>
      <c r="AN41" s="279"/>
      <c r="AO41" s="279"/>
      <c r="AP41" s="279"/>
      <c r="AQ41" s="279"/>
      <c r="AR41" s="280"/>
      <c r="AW41" s="281"/>
      <c r="AX41" s="181"/>
      <c r="AY41" s="181"/>
      <c r="AZ41" s="181"/>
      <c r="BA41" s="181"/>
      <c r="BB41" s="181"/>
      <c r="BC41" s="181"/>
      <c r="BD41" s="181"/>
      <c r="BE41" s="181"/>
      <c r="BF41" s="181"/>
      <c r="BG41" s="181"/>
      <c r="BH41" s="181"/>
      <c r="BI41" s="181"/>
      <c r="BJ41" s="181"/>
      <c r="BK41" s="181"/>
      <c r="BL41" s="181"/>
      <c r="BM41" s="181"/>
      <c r="BN41" s="181"/>
      <c r="BO41" s="282"/>
    </row>
    <row r="42" ht="14.25">
      <c r="B42" s="283"/>
      <c r="C42" s="284"/>
      <c r="D42" s="284"/>
      <c r="E42" s="284"/>
      <c r="F42" s="284"/>
      <c r="G42" s="284"/>
      <c r="H42" s="284"/>
      <c r="I42" s="284"/>
      <c r="J42" s="284"/>
      <c r="K42" s="284"/>
      <c r="L42" s="284"/>
      <c r="M42" s="284"/>
      <c r="N42" s="284"/>
      <c r="O42" s="284"/>
      <c r="P42" s="284"/>
      <c r="Q42" s="284"/>
      <c r="R42" s="284"/>
      <c r="S42" s="284"/>
      <c r="T42" s="285"/>
      <c r="Z42" s="283"/>
      <c r="AA42" s="284"/>
      <c r="AB42" s="284"/>
      <c r="AC42" s="284"/>
      <c r="AD42" s="284"/>
      <c r="AE42" s="284"/>
      <c r="AF42" s="284"/>
      <c r="AG42" s="284"/>
      <c r="AH42" s="284"/>
      <c r="AI42" s="284"/>
      <c r="AJ42" s="284"/>
      <c r="AK42" s="284"/>
      <c r="AL42" s="284"/>
      <c r="AM42" s="284"/>
      <c r="AN42" s="284"/>
      <c r="AO42" s="284"/>
      <c r="AP42" s="284"/>
      <c r="AQ42" s="284"/>
      <c r="AR42" s="285"/>
      <c r="AW42" s="286"/>
      <c r="AX42" s="287"/>
      <c r="AY42" s="287"/>
      <c r="AZ42" s="287"/>
      <c r="BA42" s="287"/>
      <c r="BB42" s="287"/>
      <c r="BC42" s="287"/>
      <c r="BD42" s="287"/>
      <c r="BE42" s="287"/>
      <c r="BF42" s="287"/>
      <c r="BG42" s="287"/>
      <c r="BH42" s="287"/>
      <c r="BI42" s="287"/>
      <c r="BJ42" s="287"/>
      <c r="BK42" s="287"/>
      <c r="BL42" s="287"/>
      <c r="BM42" s="287"/>
      <c r="BN42" s="287"/>
      <c r="BO42" s="288"/>
    </row>
    <row r="43" ht="14.25">
      <c r="AW43" t="s">
        <v>525</v>
      </c>
    </row>
  </sheetData>
  <mergeCells count="104">
    <mergeCell ref="B6:C6"/>
    <mergeCell ref="D6:T6"/>
    <mergeCell ref="U6:Y6"/>
    <mergeCell ref="Z6:AC6"/>
    <mergeCell ref="AD6:AF6"/>
    <mergeCell ref="AG6:AI6"/>
    <mergeCell ref="AJ6:AO6"/>
    <mergeCell ref="AP6:BV6"/>
    <mergeCell ref="BW6:BZ6"/>
    <mergeCell ref="CA6:CD6"/>
    <mergeCell ref="CE6:CH6"/>
    <mergeCell ref="B7:C7"/>
    <mergeCell ref="U7:Y7"/>
    <mergeCell ref="Z7:AC7"/>
    <mergeCell ref="AD7:AF7"/>
    <mergeCell ref="AG7:AI7"/>
    <mergeCell ref="AJ7:AO7"/>
    <mergeCell ref="BW7:BZ7"/>
    <mergeCell ref="CA7:CD7"/>
    <mergeCell ref="CE7:CH7"/>
    <mergeCell ref="B8:C8"/>
    <mergeCell ref="U8:Y8"/>
    <mergeCell ref="Z8:AC8"/>
    <mergeCell ref="AD8:AF8"/>
    <mergeCell ref="AG8:AI8"/>
    <mergeCell ref="AJ8:AO8"/>
    <mergeCell ref="BW8:BZ8"/>
    <mergeCell ref="CA8:CD8"/>
    <mergeCell ref="CE8:CH8"/>
    <mergeCell ref="B9:C9"/>
    <mergeCell ref="U9:Y9"/>
    <mergeCell ref="Z9:AC9"/>
    <mergeCell ref="AD9:AF9"/>
    <mergeCell ref="AG9:AI9"/>
    <mergeCell ref="AJ9:AO9"/>
    <mergeCell ref="BW9:BZ9"/>
    <mergeCell ref="CA9:CD9"/>
    <mergeCell ref="CE9:CH9"/>
    <mergeCell ref="B10:C10"/>
    <mergeCell ref="U10:Y10"/>
    <mergeCell ref="Z10:AC10"/>
    <mergeCell ref="AD10:AF10"/>
    <mergeCell ref="AG10:AI10"/>
    <mergeCell ref="AJ10:AO10"/>
    <mergeCell ref="BW10:BZ10"/>
    <mergeCell ref="CA10:CD10"/>
    <mergeCell ref="CE10:CH10"/>
    <mergeCell ref="B11:C11"/>
    <mergeCell ref="U11:Y11"/>
    <mergeCell ref="Z11:AC11"/>
    <mergeCell ref="AD11:AF11"/>
    <mergeCell ref="AG11:AI11"/>
    <mergeCell ref="AJ11:AO11"/>
    <mergeCell ref="BW11:BZ11"/>
    <mergeCell ref="CA11:CD11"/>
    <mergeCell ref="CE11:CH11"/>
    <mergeCell ref="B12:C12"/>
    <mergeCell ref="U12:Y12"/>
    <mergeCell ref="Z12:AC12"/>
    <mergeCell ref="AD12:AF12"/>
    <mergeCell ref="AG12:AI12"/>
    <mergeCell ref="AJ12:AO12"/>
    <mergeCell ref="BW12:BZ12"/>
    <mergeCell ref="CA12:CD12"/>
    <mergeCell ref="CE12:CH12"/>
    <mergeCell ref="B13:C13"/>
    <mergeCell ref="U13:Y13"/>
    <mergeCell ref="Z13:AC13"/>
    <mergeCell ref="AD13:AF13"/>
    <mergeCell ref="AG13:AI13"/>
    <mergeCell ref="AJ13:AO13"/>
    <mergeCell ref="BW13:BZ13"/>
    <mergeCell ref="CA13:CD13"/>
    <mergeCell ref="CE13:CH13"/>
    <mergeCell ref="B14:C14"/>
    <mergeCell ref="U14:Y14"/>
    <mergeCell ref="Z14:AC14"/>
    <mergeCell ref="AD14:AF14"/>
    <mergeCell ref="AG14:AI14"/>
    <mergeCell ref="AJ14:AO14"/>
    <mergeCell ref="BW14:BZ14"/>
    <mergeCell ref="CA14:CD14"/>
    <mergeCell ref="CE14:CH14"/>
    <mergeCell ref="B15:C15"/>
    <mergeCell ref="U15:Y15"/>
    <mergeCell ref="Z15:AC15"/>
    <mergeCell ref="AD15:AF15"/>
    <mergeCell ref="AG15:AI15"/>
    <mergeCell ref="AJ15:AO15"/>
    <mergeCell ref="BW15:BZ15"/>
    <mergeCell ref="CA15:CD15"/>
    <mergeCell ref="CE15:CH15"/>
    <mergeCell ref="B16:C16"/>
    <mergeCell ref="U16:Y16"/>
    <mergeCell ref="Z16:AC16"/>
    <mergeCell ref="AD16:AF16"/>
    <mergeCell ref="AG16:AI16"/>
    <mergeCell ref="AJ16:AO16"/>
    <mergeCell ref="BW16:BZ16"/>
    <mergeCell ref="CA16:CD16"/>
    <mergeCell ref="CE16:CH16"/>
    <mergeCell ref="B19:T42"/>
    <mergeCell ref="Z19:AR42"/>
    <mergeCell ref="AW19:BO4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3" zoomScale="100" workbookViewId="0">
      <selection activeCell="A1" activeCellId="0" sqref="A1"/>
    </sheetView>
  </sheetViews>
  <sheetFormatPr defaultRowHeight="14.25"/>
  <cols>
    <col customWidth="1" min="1" max="8" style="289" width="2.9609375"/>
    <col customWidth="1" min="9" max="9" style="289" width="2.9609375"/>
    <col customWidth="1" min="10" max="10" style="289" width="2.9609375"/>
    <col customWidth="1" min="11" max="15" style="289" width="2.9609375"/>
    <col customWidth="1" min="16" max="18" style="289" width="2.9609375"/>
    <col customWidth="1" min="19" max="20" style="289" width="2.9609375"/>
    <col customWidth="1" min="21" max="32" style="289" width="2.9609375"/>
    <col customWidth="1" min="33" max="33" style="289" width="2.9609375"/>
    <col customWidth="1" min="34" max="39" style="289" width="2.9609375"/>
    <col customWidth="1" min="40" max="42" style="289" width="2.9609375"/>
    <col customWidth="1" min="43" max="43" style="289" width="2.9609375"/>
    <col customWidth="1" min="44" max="49" style="289" width="2.9609375"/>
    <col customWidth="1" min="50" max="16384" style="289" width="2.9609375"/>
  </cols>
  <sheetData>
    <row r="2" ht="14.25">
      <c r="B2" s="290" t="s">
        <v>526</v>
      </c>
      <c r="C2" s="291"/>
      <c r="D2" s="291"/>
      <c r="E2" s="291"/>
      <c r="F2" s="291"/>
      <c r="G2" s="292"/>
      <c r="H2" s="293">
        <v>0</v>
      </c>
      <c r="I2" s="293"/>
      <c r="J2" s="293"/>
      <c r="K2" s="293"/>
      <c r="L2" s="293"/>
      <c r="M2" s="293"/>
      <c r="N2" s="293"/>
      <c r="O2" s="293"/>
      <c r="P2" s="293"/>
      <c r="Q2" s="294"/>
    </row>
    <row r="3" ht="14.25">
      <c r="B3" s="295" t="s">
        <v>527</v>
      </c>
      <c r="C3" s="296"/>
      <c r="D3" s="296"/>
      <c r="E3" s="296"/>
      <c r="F3" s="296"/>
      <c r="G3" s="297"/>
      <c r="H3" s="289">
        <v>0</v>
      </c>
      <c r="Q3" s="298"/>
    </row>
    <row r="4" ht="14.25">
      <c r="B4" s="299" t="s">
        <v>528</v>
      </c>
      <c r="C4" s="300"/>
      <c r="D4" s="300"/>
      <c r="E4" s="300"/>
      <c r="F4" s="300"/>
      <c r="G4" s="301"/>
      <c r="H4" s="302">
        <v>0</v>
      </c>
      <c r="I4" s="302"/>
      <c r="J4" s="302"/>
      <c r="K4" s="302"/>
      <c r="L4" s="302"/>
      <c r="M4" s="302"/>
      <c r="N4" s="302"/>
      <c r="O4" s="302"/>
      <c r="P4" s="302"/>
      <c r="Q4" s="303"/>
    </row>
    <row r="7" ht="16.5">
      <c r="B7" s="304" t="s">
        <v>529</v>
      </c>
      <c r="M7" s="289"/>
      <c r="N7" s="289"/>
      <c r="O7" s="289"/>
      <c r="P7" s="289"/>
      <c r="Q7" s="289"/>
      <c r="U7" s="289"/>
    </row>
    <row r="8" ht="14.25">
      <c r="B8" s="289"/>
      <c r="M8" s="289"/>
      <c r="N8" s="289"/>
      <c r="O8" s="289"/>
      <c r="P8" s="289"/>
      <c r="Q8" s="289"/>
    </row>
    <row r="9" ht="14.25">
      <c r="B9" s="305" t="s">
        <v>530</v>
      </c>
      <c r="C9" s="306"/>
      <c r="D9" s="306"/>
      <c r="E9" s="306"/>
      <c r="F9" s="306"/>
      <c r="G9" s="306"/>
      <c r="H9" s="306"/>
      <c r="I9" s="306"/>
      <c r="J9" s="306"/>
      <c r="K9" s="306"/>
      <c r="L9" s="306"/>
      <c r="M9" s="306"/>
      <c r="N9" s="306"/>
      <c r="O9" s="306"/>
      <c r="P9" s="306"/>
      <c r="Q9" s="307"/>
      <c r="R9" s="308">
        <f>H3-H4</f>
        <v>0</v>
      </c>
      <c r="S9" s="309"/>
      <c r="T9" s="309"/>
      <c r="U9" s="309"/>
      <c r="V9" s="310"/>
      <c r="AG9" s="305" t="s">
        <v>531</v>
      </c>
      <c r="AH9" s="306"/>
      <c r="AI9" s="306"/>
      <c r="AJ9" s="306"/>
      <c r="AK9" s="306"/>
      <c r="AL9" s="306"/>
      <c r="AM9" s="306"/>
      <c r="AN9" s="306"/>
      <c r="AO9" s="306"/>
      <c r="AP9" s="306"/>
      <c r="AQ9" s="306"/>
      <c r="AR9" s="306"/>
      <c r="AS9" s="306"/>
      <c r="AT9" s="306"/>
      <c r="AU9" s="306"/>
      <c r="AV9" s="306"/>
      <c r="AW9" s="306"/>
      <c r="AX9" s="311">
        <f>H3-H2</f>
        <v>0</v>
      </c>
      <c r="AY9" s="308"/>
      <c r="AZ9" s="308"/>
      <c r="BA9" s="308"/>
      <c r="BB9" s="312"/>
      <c r="BC9" s="289"/>
      <c r="BD9" s="289"/>
      <c r="BE9" s="289"/>
      <c r="BG9" s="289"/>
    </row>
    <row r="10" ht="14.25">
      <c r="B10" s="313" t="s">
        <v>532</v>
      </c>
      <c r="C10" s="314"/>
      <c r="D10" s="314"/>
      <c r="E10" s="314"/>
      <c r="F10" s="314"/>
      <c r="G10" s="314"/>
      <c r="H10" s="314"/>
      <c r="I10" s="314"/>
      <c r="J10" s="314"/>
      <c r="K10" s="314"/>
      <c r="L10" s="314"/>
      <c r="M10" s="314"/>
      <c r="N10" s="314"/>
      <c r="O10" s="314"/>
      <c r="P10" s="314"/>
      <c r="Q10" s="314"/>
      <c r="R10" s="315"/>
      <c r="S10" s="315"/>
      <c r="T10" s="315"/>
      <c r="U10" s="315"/>
      <c r="V10" s="315"/>
      <c r="AG10" s="313" t="s">
        <v>533</v>
      </c>
      <c r="AH10" s="314"/>
      <c r="AI10" s="314"/>
      <c r="AJ10" s="314"/>
      <c r="AK10" s="314"/>
      <c r="AL10" s="314"/>
      <c r="AM10" s="314"/>
      <c r="AN10" s="314"/>
      <c r="AO10" s="314"/>
      <c r="AP10" s="314"/>
      <c r="AQ10" s="314"/>
      <c r="AR10" s="314"/>
      <c r="AS10" s="314"/>
      <c r="AT10" s="314"/>
      <c r="AU10" s="314"/>
      <c r="AV10" s="314"/>
      <c r="AW10" s="314"/>
      <c r="AX10" s="314"/>
      <c r="AY10" s="313"/>
      <c r="AZ10" s="313"/>
      <c r="BA10" s="313"/>
      <c r="BB10" s="289"/>
      <c r="BC10" s="289"/>
      <c r="BD10" s="289"/>
      <c r="BE10" s="289"/>
    </row>
    <row r="11" ht="14.25">
      <c r="B11" s="316" t="s">
        <v>534</v>
      </c>
      <c r="U11" s="289"/>
      <c r="AG11" s="316" t="s">
        <v>535</v>
      </c>
    </row>
    <row r="12" ht="14.25">
      <c r="B12" s="316" t="s">
        <v>536</v>
      </c>
      <c r="U12" s="289"/>
      <c r="AG12" s="316" t="s">
        <v>537</v>
      </c>
    </row>
    <row r="13" ht="14.25">
      <c r="B13" s="316" t="s">
        <v>538</v>
      </c>
      <c r="U13" s="289"/>
      <c r="AG13" s="316" t="s">
        <v>535</v>
      </c>
    </row>
    <row r="16" ht="16.5">
      <c r="B16" s="304" t="s">
        <v>539</v>
      </c>
    </row>
    <row r="17" ht="14.25">
      <c r="B17" s="302"/>
      <c r="C17" s="302"/>
      <c r="D17" s="302"/>
      <c r="E17" s="302"/>
      <c r="F17" s="302"/>
      <c r="G17" s="302"/>
      <c r="H17" s="302"/>
      <c r="I17" s="302"/>
      <c r="J17" s="302"/>
      <c r="K17" s="302"/>
      <c r="L17" s="302"/>
      <c r="M17" s="302"/>
      <c r="N17" s="302"/>
      <c r="O17" s="302"/>
      <c r="P17" s="302"/>
      <c r="Q17" s="302"/>
      <c r="R17" s="302"/>
      <c r="S17" s="302"/>
      <c r="T17" s="302"/>
      <c r="U17" s="302"/>
      <c r="V17" s="302"/>
      <c r="AG17" s="302"/>
      <c r="AH17" s="302"/>
      <c r="AI17" s="302"/>
      <c r="AJ17" s="302"/>
      <c r="AK17" s="302"/>
      <c r="AL17" s="302"/>
      <c r="AM17" s="302"/>
      <c r="AN17" s="302"/>
      <c r="AO17" s="302"/>
      <c r="AP17" s="302"/>
      <c r="AQ17" s="302"/>
      <c r="AR17" s="302"/>
      <c r="AS17" s="302"/>
      <c r="AT17" s="302"/>
      <c r="AU17" s="302"/>
      <c r="AV17" s="302"/>
      <c r="AW17" s="302"/>
      <c r="AX17" s="302"/>
      <c r="AY17" s="302"/>
      <c r="AZ17" s="302"/>
      <c r="BA17" s="289"/>
      <c r="BB17" s="289"/>
      <c r="BC17" s="289"/>
      <c r="BD17" s="289"/>
      <c r="BE17" s="289"/>
    </row>
    <row r="18" ht="14.25">
      <c r="A18" s="298"/>
      <c r="B18" s="305" t="s">
        <v>540</v>
      </c>
      <c r="C18" s="306"/>
      <c r="D18" s="306"/>
      <c r="E18" s="306"/>
      <c r="F18" s="306"/>
      <c r="G18" s="306"/>
      <c r="H18" s="306"/>
      <c r="I18" s="306"/>
      <c r="J18" s="306"/>
      <c r="K18" s="306"/>
      <c r="L18" s="306"/>
      <c r="M18" s="306"/>
      <c r="N18" s="306"/>
      <c r="O18" s="306"/>
      <c r="P18" s="306"/>
      <c r="Q18" s="307"/>
      <c r="R18" s="311" t="e">
        <f>H3/H4</f>
        <v>#DIV/0!</v>
      </c>
      <c r="S18" s="309"/>
      <c r="T18" s="309"/>
      <c r="U18" s="309"/>
      <c r="V18" s="310"/>
      <c r="Y18" s="289"/>
      <c r="Z18" s="317"/>
      <c r="AG18" s="305" t="s">
        <v>541</v>
      </c>
      <c r="AH18" s="306"/>
      <c r="AI18" s="306"/>
      <c r="AJ18" s="306"/>
      <c r="AK18" s="306"/>
      <c r="AL18" s="306"/>
      <c r="AM18" s="306"/>
      <c r="AN18" s="306"/>
      <c r="AO18" s="306"/>
      <c r="AP18" s="306"/>
      <c r="AQ18" s="306"/>
      <c r="AR18" s="306"/>
      <c r="AS18" s="306"/>
      <c r="AT18" s="306"/>
      <c r="AU18" s="306"/>
      <c r="AV18" s="306"/>
      <c r="AW18" s="306"/>
      <c r="AX18" s="311" t="e">
        <f>H3/H2</f>
        <v>#DIV/0!</v>
      </c>
      <c r="AY18" s="308"/>
      <c r="AZ18" s="308"/>
      <c r="BA18" s="308"/>
      <c r="BB18" s="312"/>
      <c r="BC18" s="289"/>
      <c r="BD18" s="289"/>
      <c r="BE18" s="289"/>
      <c r="BG18" s="289"/>
    </row>
    <row r="19" ht="14.25">
      <c r="B19" s="318" t="s">
        <v>542</v>
      </c>
      <c r="C19" s="319"/>
      <c r="D19" s="319"/>
      <c r="E19" s="319"/>
      <c r="F19" s="319"/>
      <c r="G19" s="319"/>
      <c r="H19" s="319"/>
      <c r="I19" s="319"/>
      <c r="J19" s="319"/>
      <c r="K19" s="319"/>
      <c r="L19" s="319"/>
      <c r="M19" s="319"/>
      <c r="N19" s="319"/>
      <c r="O19" s="319"/>
      <c r="P19" s="319"/>
      <c r="Q19" s="319"/>
      <c r="R19" s="320"/>
      <c r="S19" s="320"/>
      <c r="T19" s="320"/>
      <c r="U19" s="320"/>
      <c r="V19" s="320"/>
      <c r="AG19" s="318" t="s">
        <v>543</v>
      </c>
      <c r="AH19" s="319"/>
      <c r="AI19" s="319"/>
      <c r="AJ19" s="319"/>
      <c r="AK19" s="319"/>
      <c r="AL19" s="319"/>
      <c r="AM19" s="319"/>
      <c r="AN19" s="319"/>
      <c r="AO19" s="319"/>
      <c r="AP19" s="319"/>
      <c r="AQ19" s="319"/>
      <c r="AR19" s="319"/>
      <c r="AS19" s="319"/>
      <c r="AT19" s="319"/>
      <c r="AU19" s="319"/>
      <c r="AV19" s="319"/>
      <c r="AW19" s="319"/>
      <c r="AX19" s="319"/>
      <c r="AY19" s="321"/>
      <c r="AZ19" s="321"/>
      <c r="BA19" s="321"/>
      <c r="BB19" s="289"/>
      <c r="BC19" s="289"/>
      <c r="BD19" s="289"/>
      <c r="BE19" s="289"/>
    </row>
    <row r="20" ht="14.25">
      <c r="B20" s="172" t="s">
        <v>544</v>
      </c>
      <c r="U20" s="289"/>
      <c r="AG20" s="316" t="s">
        <v>545</v>
      </c>
      <c r="AM20" s="289"/>
    </row>
    <row r="21" ht="14.25">
      <c r="B21" s="316" t="s">
        <v>546</v>
      </c>
      <c r="U21" s="289"/>
      <c r="AG21" s="316" t="s">
        <v>547</v>
      </c>
      <c r="AM21" s="289"/>
    </row>
    <row r="22" ht="14.25">
      <c r="B22" s="172" t="s">
        <v>548</v>
      </c>
      <c r="U22" s="289"/>
      <c r="AG22" s="316" t="s">
        <v>549</v>
      </c>
      <c r="AM22" s="289"/>
    </row>
    <row r="23" ht="14.25">
      <c r="B23" s="316" t="s">
        <v>550</v>
      </c>
      <c r="AG23" s="316" t="s">
        <v>551</v>
      </c>
      <c r="AM23" s="289"/>
    </row>
    <row r="26" ht="16.5">
      <c r="B26" s="304" t="s">
        <v>552</v>
      </c>
    </row>
    <row r="27" ht="16.5">
      <c r="B27" s="304"/>
    </row>
    <row r="28" ht="16.5">
      <c r="B28" s="304" t="s">
        <v>553</v>
      </c>
      <c r="M28" s="289"/>
      <c r="AM28" s="289"/>
    </row>
    <row r="29" ht="14.25">
      <c r="B29" s="172" t="s">
        <v>554</v>
      </c>
      <c r="C29" s="289"/>
      <c r="D29" s="289"/>
      <c r="E29" s="289"/>
      <c r="F29" s="289"/>
      <c r="G29" s="289"/>
      <c r="H29" s="289"/>
      <c r="I29" s="289"/>
      <c r="J29" s="289"/>
      <c r="K29" s="289"/>
      <c r="L29" s="289"/>
      <c r="M29" s="289"/>
      <c r="N29" s="289"/>
      <c r="O29" s="289"/>
      <c r="P29" s="289"/>
      <c r="Q29" s="289"/>
      <c r="R29" s="289"/>
      <c r="S29" s="289"/>
      <c r="T29" s="289"/>
      <c r="U29" s="289"/>
      <c r="V29" s="289"/>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row>
    <row r="30" ht="14.25">
      <c r="A30" s="289"/>
      <c r="B30" s="322" t="s">
        <v>555</v>
      </c>
      <c r="C30" s="323"/>
      <c r="D30" s="323"/>
      <c r="E30" s="323"/>
      <c r="F30" s="323"/>
      <c r="G30" s="323"/>
      <c r="H30" s="323"/>
      <c r="I30" s="323"/>
      <c r="J30" s="323"/>
      <c r="K30" s="323"/>
      <c r="L30" s="323"/>
      <c r="M30" s="323"/>
      <c r="N30" s="323"/>
      <c r="O30" s="323"/>
      <c r="P30" s="323"/>
      <c r="Q30" s="323"/>
      <c r="R30" s="323"/>
      <c r="S30" s="323"/>
      <c r="T30" s="323"/>
      <c r="U30" s="323"/>
      <c r="V30" s="323"/>
      <c r="W30" s="323"/>
      <c r="X30" s="324"/>
      <c r="Y30" s="325"/>
      <c r="Z30" s="325"/>
      <c r="AA30" s="325"/>
      <c r="AB30" s="325"/>
      <c r="AC30" s="325"/>
      <c r="AD30" s="326"/>
      <c r="AE30" s="326"/>
      <c r="AF30" s="326"/>
      <c r="AG30" s="317"/>
      <c r="AH30" s="317"/>
      <c r="AI30" s="317"/>
      <c r="AJ30" s="317"/>
      <c r="AK30" s="317"/>
      <c r="AL30" s="317"/>
      <c r="AM30" s="317"/>
      <c r="AN30" s="317"/>
      <c r="AO30" s="317"/>
      <c r="AP30" s="317"/>
      <c r="AQ30" s="317"/>
      <c r="AR30" s="317"/>
      <c r="AS30" s="317"/>
      <c r="AT30" s="317"/>
      <c r="AU30" s="317"/>
      <c r="AV30" s="317"/>
      <c r="AW30" s="317"/>
      <c r="AX30" s="317"/>
      <c r="AY30" s="317"/>
      <c r="AZ30" s="317"/>
      <c r="BA30" s="317"/>
      <c r="BB30" s="317"/>
      <c r="BC30" s="317"/>
      <c r="BD30" s="289"/>
      <c r="BE30" s="289"/>
    </row>
    <row r="31" ht="14.25">
      <c r="B31" s="327"/>
      <c r="C31" s="181"/>
      <c r="D31" s="181"/>
      <c r="E31" s="181"/>
      <c r="F31" s="181"/>
      <c r="G31" s="181"/>
      <c r="H31" s="181"/>
      <c r="I31" s="181"/>
      <c r="J31" s="181"/>
      <c r="K31" s="181"/>
      <c r="L31" s="181"/>
      <c r="M31" s="181"/>
      <c r="N31" s="181"/>
      <c r="O31" s="181"/>
      <c r="P31" s="181"/>
      <c r="Q31" s="181"/>
      <c r="R31" s="181"/>
      <c r="S31" s="181"/>
      <c r="T31" s="181"/>
      <c r="U31" s="181"/>
      <c r="V31" s="181"/>
      <c r="W31" s="181"/>
      <c r="X31" s="328"/>
      <c r="Y31" s="325"/>
      <c r="Z31" s="325"/>
      <c r="AA31" s="325"/>
      <c r="AB31" s="325"/>
      <c r="AC31" s="325"/>
      <c r="AD31" s="326"/>
      <c r="AE31" s="326"/>
      <c r="AF31" s="326"/>
      <c r="AG31" s="317"/>
      <c r="AH31" s="317"/>
      <c r="AI31" s="317"/>
      <c r="AJ31" s="317"/>
      <c r="AK31" s="317"/>
      <c r="AL31" s="317"/>
      <c r="AM31" s="317"/>
      <c r="AN31" s="317"/>
      <c r="AO31" s="317"/>
      <c r="AP31" s="317"/>
      <c r="AQ31" s="317"/>
      <c r="AR31" s="317"/>
      <c r="AS31" s="317"/>
      <c r="AT31" s="317"/>
      <c r="AU31" s="317"/>
      <c r="AV31" s="317"/>
      <c r="AW31" s="317"/>
      <c r="AX31" s="317"/>
      <c r="AY31" s="317"/>
      <c r="AZ31" s="317"/>
      <c r="BA31" s="317"/>
      <c r="BB31" s="317"/>
      <c r="BC31" s="317"/>
      <c r="BD31" s="289"/>
      <c r="BE31" s="289"/>
    </row>
    <row r="32" ht="14.25">
      <c r="B32" s="329"/>
      <c r="C32" s="330"/>
      <c r="D32" s="330"/>
      <c r="E32" s="330"/>
      <c r="F32" s="330"/>
      <c r="G32" s="330"/>
      <c r="H32" s="330"/>
      <c r="I32" s="330"/>
      <c r="J32" s="330"/>
      <c r="K32" s="330"/>
      <c r="L32" s="330"/>
      <c r="M32" s="330"/>
      <c r="N32" s="330"/>
      <c r="O32" s="330"/>
      <c r="P32" s="330"/>
      <c r="Q32" s="330"/>
      <c r="R32" s="330"/>
      <c r="S32" s="330"/>
      <c r="T32" s="330"/>
      <c r="U32" s="330"/>
      <c r="V32" s="330"/>
      <c r="W32" s="330"/>
      <c r="X32" s="331"/>
      <c r="Y32" s="325"/>
      <c r="Z32" s="325"/>
      <c r="AA32" s="325"/>
      <c r="AB32" s="325"/>
      <c r="AC32" s="325"/>
      <c r="AD32" s="326"/>
      <c r="AE32" s="326"/>
      <c r="AF32" s="326"/>
      <c r="AG32" s="317"/>
      <c r="AH32" s="317"/>
      <c r="AI32" s="317"/>
      <c r="AJ32" s="317"/>
      <c r="AK32" s="317"/>
      <c r="AL32" s="317"/>
      <c r="AM32" s="317"/>
      <c r="AN32" s="317"/>
      <c r="AO32" s="317"/>
      <c r="AP32" s="317"/>
      <c r="AQ32" s="317"/>
      <c r="AR32" s="317"/>
      <c r="AS32" s="317"/>
      <c r="AT32" s="317"/>
      <c r="AU32" s="317"/>
      <c r="AV32" s="317"/>
      <c r="AW32" s="317"/>
      <c r="AX32" s="317"/>
      <c r="AY32" s="317"/>
      <c r="AZ32" s="317"/>
      <c r="BA32" s="317"/>
      <c r="BB32" s="317"/>
      <c r="BC32" s="317"/>
      <c r="BD32" s="289"/>
      <c r="BE32" s="289"/>
    </row>
    <row r="33" ht="14.25">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7"/>
      <c r="BD33" s="289"/>
      <c r="BE33" s="289"/>
    </row>
    <row r="34" ht="14.25">
      <c r="B34" s="332" t="s">
        <v>556</v>
      </c>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7"/>
      <c r="BD34" s="289"/>
      <c r="BE34" s="289"/>
    </row>
    <row r="35" ht="14.25">
      <c r="B35" s="332"/>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7"/>
      <c r="BD35" s="289"/>
      <c r="BE35" s="289"/>
    </row>
    <row r="36" ht="14.25">
      <c r="A36" s="298"/>
      <c r="B36" s="305" t="s">
        <v>557</v>
      </c>
      <c r="C36" s="306"/>
      <c r="D36" s="306"/>
      <c r="E36" s="306"/>
      <c r="F36" s="306"/>
      <c r="G36" s="306"/>
      <c r="H36" s="306"/>
      <c r="I36" s="306"/>
      <c r="J36" s="306"/>
      <c r="K36" s="306"/>
      <c r="L36" s="306"/>
      <c r="M36" s="306"/>
      <c r="N36" s="306"/>
      <c r="O36" s="306"/>
      <c r="P36" s="306"/>
      <c r="Q36" s="307"/>
      <c r="R36" s="311">
        <v>0</v>
      </c>
      <c r="S36" s="309"/>
      <c r="T36" s="309"/>
      <c r="U36" s="309"/>
      <c r="V36" s="310"/>
      <c r="W36" s="317"/>
      <c r="X36" s="317"/>
      <c r="Y36" s="317"/>
      <c r="Z36" s="317"/>
      <c r="AA36" s="317"/>
      <c r="AB36" s="317"/>
      <c r="AC36" s="317"/>
      <c r="AD36" s="317"/>
      <c r="AE36" s="317"/>
      <c r="AF36" s="317"/>
      <c r="AG36" s="333"/>
      <c r="AH36" s="334"/>
      <c r="AI36" s="334"/>
      <c r="AJ36" s="334"/>
      <c r="AK36" s="334"/>
      <c r="AL36" s="334"/>
      <c r="AM36" s="334"/>
      <c r="AN36" s="334"/>
      <c r="AO36" s="334"/>
      <c r="AP36" s="334"/>
      <c r="AQ36" s="334"/>
      <c r="AR36" s="334"/>
      <c r="AS36" s="334"/>
      <c r="AT36" s="334"/>
      <c r="AU36" s="334"/>
      <c r="AV36" s="334"/>
      <c r="AW36" s="334"/>
      <c r="AX36" s="334"/>
      <c r="AY36" s="334"/>
      <c r="AZ36" s="334"/>
      <c r="BA36" s="334"/>
      <c r="BB36" s="334"/>
      <c r="BC36" s="334"/>
      <c r="BD36" s="289"/>
      <c r="BE36" s="289"/>
      <c r="BF36" s="289"/>
      <c r="BG36" s="289"/>
      <c r="BH36" s="289"/>
      <c r="BI36" s="289"/>
      <c r="BJ36" s="289"/>
    </row>
    <row r="37" ht="14.25">
      <c r="B37" s="332"/>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289"/>
      <c r="BE37" s="289"/>
      <c r="BF37" s="289"/>
      <c r="BG37" s="289"/>
      <c r="BH37" s="289"/>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row>
    <row r="38" ht="14.25">
      <c r="A38" s="298"/>
      <c r="B38" s="305" t="s">
        <v>558</v>
      </c>
      <c r="C38" s="306"/>
      <c r="D38" s="306"/>
      <c r="E38" s="306"/>
      <c r="F38" s="306"/>
      <c r="G38" s="306"/>
      <c r="H38" s="306"/>
      <c r="I38" s="306"/>
      <c r="J38" s="306"/>
      <c r="K38" s="306"/>
      <c r="L38" s="306"/>
      <c r="M38" s="306"/>
      <c r="N38" s="306"/>
      <c r="O38" s="306"/>
      <c r="P38" s="306"/>
      <c r="Q38" s="307"/>
      <c r="R38" s="311">
        <f>R36-H4</f>
        <v>0</v>
      </c>
      <c r="S38" s="309"/>
      <c r="T38" s="309"/>
      <c r="U38" s="309"/>
      <c r="V38" s="310"/>
      <c r="W38" s="317"/>
      <c r="X38" s="317"/>
      <c r="Y38" s="317"/>
      <c r="Z38" s="317"/>
      <c r="AA38" s="317"/>
      <c r="AB38" s="317"/>
      <c r="AC38" s="317"/>
      <c r="AD38" s="317"/>
      <c r="AE38" s="317"/>
      <c r="AF38" s="317"/>
      <c r="AG38" s="305" t="s">
        <v>559</v>
      </c>
      <c r="AH38" s="306"/>
      <c r="AI38" s="306"/>
      <c r="AJ38" s="306"/>
      <c r="AK38" s="306"/>
      <c r="AL38" s="306"/>
      <c r="AM38" s="306"/>
      <c r="AN38" s="306"/>
      <c r="AO38" s="306"/>
      <c r="AP38" s="306"/>
      <c r="AQ38" s="306"/>
      <c r="AR38" s="306"/>
      <c r="AS38" s="306"/>
      <c r="AT38" s="306"/>
      <c r="AU38" s="306"/>
      <c r="AV38" s="306"/>
      <c r="AW38" s="306"/>
      <c r="AX38" s="311"/>
      <c r="AY38" s="309"/>
      <c r="AZ38" s="309"/>
      <c r="BA38" s="309"/>
      <c r="BB38" s="310"/>
      <c r="BC38" s="289"/>
      <c r="BD38" s="289"/>
      <c r="BE38" s="289"/>
      <c r="BH38" s="289"/>
      <c r="BI38" s="305" t="s">
        <v>560</v>
      </c>
      <c r="BJ38" s="306"/>
      <c r="BK38" s="306"/>
      <c r="BL38" s="306"/>
      <c r="BM38" s="306"/>
      <c r="BN38" s="306"/>
      <c r="BO38" s="306"/>
      <c r="BP38" s="306"/>
      <c r="BQ38" s="306"/>
      <c r="BR38" s="306"/>
      <c r="BS38" s="306"/>
      <c r="BT38" s="306"/>
      <c r="BU38" s="306"/>
      <c r="BV38" s="306"/>
      <c r="BW38" s="306"/>
      <c r="BX38" s="306"/>
      <c r="BY38" s="307"/>
      <c r="BZ38" s="311"/>
      <c r="CA38" s="309"/>
      <c r="CB38" s="309"/>
      <c r="CC38" s="309"/>
      <c r="CD38" s="310"/>
    </row>
    <row r="39" ht="14.25">
      <c r="B39" s="318" t="s">
        <v>561</v>
      </c>
      <c r="C39" s="319"/>
      <c r="D39" s="319"/>
      <c r="E39" s="319"/>
      <c r="F39" s="319"/>
      <c r="G39" s="319"/>
      <c r="H39" s="319"/>
      <c r="I39" s="319"/>
      <c r="J39" s="319"/>
      <c r="K39" s="319"/>
      <c r="L39" s="319"/>
      <c r="M39" s="319"/>
      <c r="N39" s="319"/>
      <c r="O39" s="319"/>
      <c r="P39" s="319"/>
      <c r="Q39" s="319"/>
      <c r="R39" s="320"/>
      <c r="S39" s="320"/>
      <c r="T39" s="320"/>
      <c r="U39" s="320"/>
      <c r="V39" s="320"/>
      <c r="AG39" s="318" t="s">
        <v>562</v>
      </c>
      <c r="AH39" s="319"/>
      <c r="AI39" s="319"/>
      <c r="AJ39" s="319"/>
      <c r="AK39" s="319"/>
      <c r="AL39" s="319"/>
      <c r="AM39" s="319"/>
      <c r="AN39" s="319"/>
      <c r="AO39" s="319"/>
      <c r="AP39" s="319"/>
      <c r="AQ39" s="319"/>
      <c r="AR39" s="319"/>
      <c r="AS39" s="319"/>
      <c r="AT39" s="319"/>
      <c r="AU39" s="319"/>
      <c r="AV39" s="319"/>
      <c r="AW39" s="319"/>
      <c r="AX39" s="319"/>
      <c r="AY39" s="319"/>
      <c r="AZ39" s="319"/>
      <c r="BA39" s="320"/>
      <c r="BB39" s="320"/>
      <c r="BC39" s="320"/>
      <c r="BD39" s="320"/>
      <c r="BE39" s="320"/>
      <c r="BI39" s="318" t="s">
        <v>563</v>
      </c>
      <c r="BJ39" s="319"/>
      <c r="BK39" s="319"/>
      <c r="BL39" s="319"/>
      <c r="BM39" s="319"/>
      <c r="BN39" s="319"/>
      <c r="BO39" s="319"/>
      <c r="BP39" s="319"/>
      <c r="BQ39" s="319"/>
      <c r="BR39" s="319"/>
      <c r="BS39" s="319"/>
      <c r="BT39" s="319"/>
      <c r="BU39" s="319"/>
      <c r="BV39" s="319"/>
      <c r="BW39" s="319"/>
      <c r="BX39" s="319"/>
      <c r="BY39" s="319"/>
      <c r="BZ39" s="319"/>
      <c r="CA39" s="319"/>
      <c r="CB39" s="319"/>
      <c r="CC39" s="320"/>
      <c r="CD39" s="320"/>
      <c r="CE39" s="320"/>
    </row>
    <row r="40" ht="14.25">
      <c r="AG40" s="316" t="s">
        <v>564</v>
      </c>
      <c r="BI40" s="316" t="s">
        <v>565</v>
      </c>
    </row>
    <row r="41" ht="14.25">
      <c r="AG41" s="316" t="s">
        <v>566</v>
      </c>
      <c r="BI41" s="316" t="s">
        <v>567</v>
      </c>
    </row>
    <row r="42" ht="14.25">
      <c r="BI42" s="316" t="s">
        <v>568</v>
      </c>
    </row>
  </sheetData>
  <mergeCells count="1">
    <mergeCell ref="B30:X3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2026-05-12T14:48:50Z</dcterms:modified>
</cp:coreProperties>
</file>